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d\Downloads\"/>
    </mc:Choice>
  </mc:AlternateContent>
  <xr:revisionPtr revIDLastSave="0" documentId="13_ncr:1_{77FA2ED0-26D4-4DB7-883F-1A56AF5F3849}" xr6:coauthVersionLast="47" xr6:coauthVersionMax="47" xr10:uidLastSave="{00000000-0000-0000-0000-000000000000}"/>
  <bookViews>
    <workbookView xWindow="19095" yWindow="0" windowWidth="19410" windowHeight="20985" xr2:uid="{780D7076-86A8-4D37-A150-3F71B8AB930F}"/>
  </bookViews>
  <sheets>
    <sheet name="All Monthly Profits With Rank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5" i="1" l="1"/>
  <c r="E76" i="1"/>
  <c r="E77" i="1"/>
  <c r="E78" i="1"/>
  <c r="E79" i="1"/>
  <c r="E80" i="1"/>
  <c r="E81" i="1"/>
  <c r="E82" i="1"/>
  <c r="E83" i="1"/>
  <c r="E84" i="1"/>
  <c r="E85" i="1"/>
  <c r="E74" i="1"/>
  <c r="G75" i="1"/>
  <c r="G76" i="1"/>
  <c r="G77" i="1"/>
  <c r="G78" i="1"/>
  <c r="G79" i="1"/>
  <c r="G80" i="1"/>
  <c r="G81" i="1"/>
  <c r="G82" i="1"/>
  <c r="G83" i="1"/>
  <c r="G84" i="1"/>
  <c r="G85" i="1"/>
  <c r="G74" i="1"/>
  <c r="F85" i="1"/>
  <c r="F84" i="1"/>
  <c r="F83" i="1"/>
  <c r="F82" i="1"/>
  <c r="F81" i="1"/>
  <c r="F80" i="1"/>
  <c r="F79" i="1"/>
  <c r="F78" i="1"/>
  <c r="F77" i="1"/>
  <c r="F76" i="1"/>
  <c r="F75" i="1"/>
  <c r="F74" i="1"/>
  <c r="D85" i="1"/>
  <c r="D84" i="1"/>
  <c r="D83" i="1"/>
  <c r="D82" i="1"/>
  <c r="D81" i="1"/>
  <c r="D80" i="1"/>
  <c r="D79" i="1"/>
  <c r="D78" i="1"/>
  <c r="D77" i="1"/>
  <c r="D76" i="1"/>
  <c r="D75" i="1"/>
  <c r="D74" i="1"/>
  <c r="K61" i="1"/>
  <c r="K63" i="1"/>
  <c r="K64" i="1"/>
  <c r="K66" i="1"/>
  <c r="K67" i="1"/>
  <c r="K69" i="1"/>
  <c r="K70" i="1"/>
  <c r="K60" i="1"/>
  <c r="G61" i="1"/>
  <c r="G63" i="1"/>
  <c r="G64" i="1"/>
  <c r="G66" i="1"/>
  <c r="G67" i="1"/>
  <c r="G69" i="1"/>
  <c r="G70" i="1"/>
  <c r="G60" i="1"/>
  <c r="A6" i="1"/>
  <c r="A10" i="1"/>
  <c r="A14" i="1"/>
  <c r="A18" i="1"/>
  <c r="A22" i="1"/>
  <c r="A26" i="1"/>
  <c r="A30" i="1"/>
  <c r="A34" i="1"/>
  <c r="A38" i="1"/>
  <c r="A42" i="1"/>
  <c r="A46" i="1"/>
  <c r="A3" i="1"/>
  <c r="A7" i="1"/>
  <c r="A11" i="1"/>
  <c r="A15" i="1"/>
  <c r="A19" i="1"/>
  <c r="A23" i="1"/>
  <c r="A27" i="1"/>
  <c r="A31" i="1"/>
  <c r="A35" i="1"/>
  <c r="A39" i="1"/>
  <c r="A43" i="1"/>
  <c r="A47" i="1"/>
  <c r="A4" i="1"/>
  <c r="A8" i="1"/>
  <c r="A12" i="1"/>
  <c r="A16" i="1"/>
  <c r="A20" i="1"/>
  <c r="A24" i="1"/>
  <c r="A28" i="1"/>
  <c r="A32" i="1"/>
  <c r="A36" i="1"/>
  <c r="A40" i="1"/>
  <c r="A44" i="1"/>
  <c r="A48" i="1"/>
  <c r="A5" i="1"/>
  <c r="A9" i="1"/>
  <c r="A13" i="1"/>
  <c r="A17" i="1"/>
  <c r="A21" i="1"/>
  <c r="A25" i="1"/>
  <c r="A29" i="1"/>
  <c r="A33" i="1"/>
  <c r="A37" i="1"/>
  <c r="A41" i="1"/>
  <c r="A45" i="1"/>
  <c r="A49" i="1"/>
  <c r="A2" i="1"/>
</calcChain>
</file>

<file path=xl/sharedStrings.xml><?xml version="1.0" encoding="utf-8"?>
<sst xmlns="http://schemas.openxmlformats.org/spreadsheetml/2006/main" count="142" uniqueCount="111">
  <si>
    <t>Month</t>
  </si>
  <si>
    <t>MonthlyProfits</t>
  </si>
  <si>
    <t>ProfitsRank</t>
  </si>
  <si>
    <t>DemeanedMonthlyProfits</t>
  </si>
  <si>
    <t>DemeanedProfitsRank</t>
  </si>
  <si>
    <t>TotalDiscountRate</t>
  </si>
  <si>
    <t>DiscountsRank</t>
  </si>
  <si>
    <t>FurnitureProfits</t>
  </si>
  <si>
    <t>FurnitureProfitsRank</t>
  </si>
  <si>
    <t>DemeanedFurnitureProfits</t>
  </si>
  <si>
    <t>DemeanedFurnitureProfitsRank</t>
  </si>
  <si>
    <t>FurnitureDiscountRate</t>
  </si>
  <si>
    <t>FurnitureDiscountRank</t>
  </si>
  <si>
    <t>SuppliesProfits</t>
  </si>
  <si>
    <t>SuppliesProfitsRank</t>
  </si>
  <si>
    <t>DemeanedSuppliesProfits</t>
  </si>
  <si>
    <t>DemeanedSuppliesProfitsRank</t>
  </si>
  <si>
    <t>SuppliesDiscountRate</t>
  </si>
  <si>
    <t>SuppliesDiscountRank</t>
  </si>
  <si>
    <t>TechProfits</t>
  </si>
  <si>
    <t>TechProfitsRank</t>
  </si>
  <si>
    <t>DemeanedTechProfits</t>
  </si>
  <si>
    <t>DemeanedTechProfitsRank</t>
  </si>
  <si>
    <t>TechDiscountRate</t>
  </si>
  <si>
    <t>TechDiscountRank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</si>
  <si>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</si>
  <si>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</si>
  <si>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</si>
  <si>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</si>
  <si>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</si>
  <si>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</si>
  <si>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</si>
  <si>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</si>
  <si>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</si>
  <si>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</si>
  <si>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</si>
  <si>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</si>
  <si>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</si>
  <si>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</si>
  <si>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</si>
  <si>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</si>
  <si>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</si>
  <si>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</si>
  <si>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</si>
  <si>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</si>
  <si>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</si>
  <si>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</si>
  <si>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</si>
  <si>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</si>
  <si>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</si>
  <si>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</si>
  <si>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</si>
  <si>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</si>
  <si>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</si>
  <si>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</si>
  <si>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</si>
  <si>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</si>
  <si>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</si>
  <si>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</si>
  <si>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</si>
  <si>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</si>
  <si>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</si>
  <si>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</si>
  <si>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</si>
  <si>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</si>
  <si>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</si>
  <si>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</si>
  <si>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</si>
  <si>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</si>
  <si>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</si>
  <si>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</si>
  <si>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</si>
  <si>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</si>
  <si>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Profit Data Checked</t>
  </si>
  <si>
    <t>Pearson Coefficient</t>
  </si>
  <si>
    <t>Pearson p Value</t>
  </si>
  <si>
    <t>Significant p Value?</t>
  </si>
  <si>
    <t>Spearman Coefficient</t>
  </si>
  <si>
    <t>Spearman p Value</t>
  </si>
  <si>
    <t>Smallest p Value</t>
  </si>
  <si>
    <t>Largest Coefficient Significance</t>
  </si>
  <si>
    <t>Total Monthly Profits</t>
  </si>
  <si>
    <t>YES</t>
  </si>
  <si>
    <t>SPEARMAN</t>
  </si>
  <si>
    <t>Medium</t>
  </si>
  <si>
    <t>Demeaned Total Monthly Profits</t>
  </si>
  <si>
    <t>High</t>
  </si>
  <si>
    <t>Furniture Monthly Profits</t>
  </si>
  <si>
    <t>Demeaned Furniture Monthly Profits</t>
  </si>
  <si>
    <t>Supplies Monthly Profits</t>
  </si>
  <si>
    <t>NO</t>
  </si>
  <si>
    <t>PEARSON</t>
  </si>
  <si>
    <t>Not Significant</t>
  </si>
  <si>
    <t>Demeaned Supplies Monthly Profits</t>
  </si>
  <si>
    <t>Tech Monthly Profits</t>
  </si>
  <si>
    <t>Demeaned Tech Monthly Profits</t>
  </si>
  <si>
    <t>m</t>
  </si>
  <si>
    <t>Bonferroni Significance</t>
  </si>
  <si>
    <t>Month of Data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</si>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</sst>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3D786-2241-4CE0-81DE-61A07A5CB26C}">
  <dimension ref="A1:Z85"/>
  <sheetViews>
    <sheetView tabSelected="1" topLeftCell="B60" workbookViewId="0">
      <selection activeCell="E89" sqref="E89"/>
    </sheetView>
  </sheetViews>
  <sheetFormatPr defaultColWidth="29.7109375" defaultRowHeight="15" x14ac:dyDescent="0.25"/>
  <sheetData>
    <row r="1" spans="1:26" x14ac:dyDescent="0.25">
      <c r="A1" t="s">
        <v>96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5">
      <c r="A2" t="str">
        <f t="shared" ref="A2:A49" si="0">RIGHT(B2, 2)</f>
        <v>01</v>
      </c>
      <c r="B2" t="s">
        <v>25</v>
      </c>
      <c r="C2">
        <v>2690.59</v>
      </c>
      <c r="D2">
        <v>41</v>
      </c>
      <c r="E2">
        <v>362.9</v>
      </c>
      <c r="F2">
        <v>22</v>
      </c>
      <c r="G2">
        <v>34.130000000000003</v>
      </c>
      <c r="H2">
        <v>47</v>
      </c>
      <c r="I2">
        <v>751.76</v>
      </c>
      <c r="J2">
        <v>16</v>
      </c>
      <c r="K2">
        <v>1237.47</v>
      </c>
      <c r="L2">
        <v>5</v>
      </c>
      <c r="M2">
        <v>43.84</v>
      </c>
      <c r="N2">
        <v>42</v>
      </c>
      <c r="O2">
        <v>1083.06</v>
      </c>
      <c r="P2">
        <v>42</v>
      </c>
      <c r="Q2">
        <v>-476.99</v>
      </c>
      <c r="R2">
        <v>30</v>
      </c>
      <c r="S2">
        <v>39.43</v>
      </c>
      <c r="T2">
        <v>44</v>
      </c>
      <c r="U2">
        <v>855.77</v>
      </c>
      <c r="V2">
        <v>41</v>
      </c>
      <c r="W2">
        <v>-397.59</v>
      </c>
      <c r="X2">
        <v>27</v>
      </c>
      <c r="Y2">
        <v>13.33</v>
      </c>
      <c r="Z2">
        <v>48</v>
      </c>
    </row>
    <row r="3" spans="1:26" x14ac:dyDescent="0.25">
      <c r="A3" t="str">
        <f t="shared" si="0"/>
        <v>01</v>
      </c>
      <c r="B3" t="s">
        <v>37</v>
      </c>
      <c r="C3">
        <v>-3211.81</v>
      </c>
      <c r="D3">
        <v>48</v>
      </c>
      <c r="E3">
        <v>-5539.5</v>
      </c>
      <c r="F3">
        <v>47</v>
      </c>
      <c r="G3">
        <v>54</v>
      </c>
      <c r="H3">
        <v>15</v>
      </c>
      <c r="I3">
        <v>-2945</v>
      </c>
      <c r="J3">
        <v>48</v>
      </c>
      <c r="K3">
        <v>-2459.29</v>
      </c>
      <c r="L3">
        <v>48</v>
      </c>
      <c r="M3">
        <v>50</v>
      </c>
      <c r="N3">
        <v>38</v>
      </c>
      <c r="O3">
        <v>589.9</v>
      </c>
      <c r="P3">
        <v>45</v>
      </c>
      <c r="Q3">
        <v>-970.15</v>
      </c>
      <c r="R3">
        <v>35</v>
      </c>
      <c r="S3">
        <v>41.82</v>
      </c>
      <c r="T3">
        <v>39</v>
      </c>
      <c r="U3">
        <v>-856.7</v>
      </c>
      <c r="V3">
        <v>46</v>
      </c>
      <c r="W3">
        <v>-2110.06</v>
      </c>
      <c r="X3">
        <v>42</v>
      </c>
      <c r="Y3">
        <v>100</v>
      </c>
      <c r="Z3">
        <v>1</v>
      </c>
    </row>
    <row r="4" spans="1:26" x14ac:dyDescent="0.25">
      <c r="A4" t="str">
        <f t="shared" si="0"/>
        <v>01</v>
      </c>
      <c r="B4" t="s">
        <v>49</v>
      </c>
      <c r="C4">
        <v>2802.93</v>
      </c>
      <c r="D4">
        <v>39</v>
      </c>
      <c r="E4">
        <v>475.24</v>
      </c>
      <c r="F4">
        <v>20</v>
      </c>
      <c r="G4">
        <v>44.74</v>
      </c>
      <c r="H4">
        <v>40</v>
      </c>
      <c r="I4">
        <v>289.85000000000002</v>
      </c>
      <c r="J4">
        <v>29</v>
      </c>
      <c r="K4">
        <v>775.56</v>
      </c>
      <c r="L4">
        <v>7</v>
      </c>
      <c r="M4">
        <v>59.46</v>
      </c>
      <c r="N4">
        <v>23</v>
      </c>
      <c r="O4">
        <v>1529.74</v>
      </c>
      <c r="P4">
        <v>33</v>
      </c>
      <c r="Q4">
        <v>-30.31</v>
      </c>
      <c r="R4">
        <v>23</v>
      </c>
      <c r="S4">
        <v>37.630000000000003</v>
      </c>
      <c r="T4">
        <v>46</v>
      </c>
      <c r="U4">
        <v>983.35</v>
      </c>
      <c r="V4">
        <v>38</v>
      </c>
      <c r="W4">
        <v>-270.01</v>
      </c>
      <c r="X4">
        <v>25</v>
      </c>
      <c r="Y4">
        <v>62.67</v>
      </c>
      <c r="Z4">
        <v>13</v>
      </c>
    </row>
    <row r="5" spans="1:26" x14ac:dyDescent="0.25">
      <c r="A5" t="str">
        <f t="shared" si="0"/>
        <v>01</v>
      </c>
      <c r="B5" t="s">
        <v>61</v>
      </c>
      <c r="C5">
        <v>7029.06</v>
      </c>
      <c r="D5">
        <v>20</v>
      </c>
      <c r="E5">
        <v>4701.37</v>
      </c>
      <c r="F5">
        <v>4</v>
      </c>
      <c r="G5">
        <v>49.01</v>
      </c>
      <c r="H5">
        <v>28</v>
      </c>
      <c r="I5">
        <v>-39.44</v>
      </c>
      <c r="J5">
        <v>33</v>
      </c>
      <c r="K5">
        <v>446.27</v>
      </c>
      <c r="L5">
        <v>14</v>
      </c>
      <c r="M5">
        <v>45.35</v>
      </c>
      <c r="N5">
        <v>41</v>
      </c>
      <c r="O5">
        <v>3037.48</v>
      </c>
      <c r="P5">
        <v>15</v>
      </c>
      <c r="Q5">
        <v>1477.43</v>
      </c>
      <c r="R5">
        <v>8</v>
      </c>
      <c r="S5">
        <v>49.37</v>
      </c>
      <c r="T5">
        <v>22</v>
      </c>
      <c r="U5">
        <v>4031.02</v>
      </c>
      <c r="V5">
        <v>16</v>
      </c>
      <c r="W5">
        <v>2777.66</v>
      </c>
      <c r="X5">
        <v>3</v>
      </c>
      <c r="Y5">
        <v>52.89</v>
      </c>
      <c r="Z5">
        <v>28</v>
      </c>
    </row>
    <row r="6" spans="1:26" x14ac:dyDescent="0.25">
      <c r="A6" t="str">
        <f t="shared" si="0"/>
        <v>02</v>
      </c>
      <c r="B6" t="s">
        <v>26</v>
      </c>
      <c r="C6">
        <v>901.92</v>
      </c>
      <c r="D6">
        <v>46</v>
      </c>
      <c r="E6">
        <v>-1634.4</v>
      </c>
      <c r="F6">
        <v>33</v>
      </c>
      <c r="G6">
        <v>47.24</v>
      </c>
      <c r="H6">
        <v>34</v>
      </c>
      <c r="I6">
        <v>135.91</v>
      </c>
      <c r="J6">
        <v>32</v>
      </c>
      <c r="K6">
        <v>-47.54</v>
      </c>
      <c r="L6">
        <v>26</v>
      </c>
      <c r="M6">
        <v>29.17</v>
      </c>
      <c r="N6">
        <v>48</v>
      </c>
      <c r="O6">
        <v>200.48</v>
      </c>
      <c r="P6">
        <v>46</v>
      </c>
      <c r="Q6">
        <v>-820.63</v>
      </c>
      <c r="R6">
        <v>34</v>
      </c>
      <c r="S6">
        <v>61.32</v>
      </c>
      <c r="T6">
        <v>1</v>
      </c>
      <c r="U6">
        <v>565.53</v>
      </c>
      <c r="V6">
        <v>44</v>
      </c>
      <c r="W6">
        <v>-766.22</v>
      </c>
      <c r="X6">
        <v>32</v>
      </c>
      <c r="Y6">
        <v>15.15</v>
      </c>
      <c r="Z6">
        <v>47</v>
      </c>
    </row>
    <row r="7" spans="1:26" x14ac:dyDescent="0.25">
      <c r="A7" t="str">
        <f t="shared" si="0"/>
        <v>02</v>
      </c>
      <c r="B7" t="s">
        <v>38</v>
      </c>
      <c r="C7">
        <v>2852.45</v>
      </c>
      <c r="D7">
        <v>38</v>
      </c>
      <c r="E7">
        <v>316.13</v>
      </c>
      <c r="F7">
        <v>23</v>
      </c>
      <c r="G7">
        <v>39.840000000000003</v>
      </c>
      <c r="H7">
        <v>45</v>
      </c>
      <c r="I7">
        <v>394.89</v>
      </c>
      <c r="J7">
        <v>22</v>
      </c>
      <c r="K7">
        <v>211.44</v>
      </c>
      <c r="L7">
        <v>20</v>
      </c>
      <c r="M7">
        <v>57.78</v>
      </c>
      <c r="N7">
        <v>30</v>
      </c>
      <c r="O7">
        <v>1852.7</v>
      </c>
      <c r="P7">
        <v>29</v>
      </c>
      <c r="Q7">
        <v>831.59</v>
      </c>
      <c r="R7">
        <v>12</v>
      </c>
      <c r="S7">
        <v>34.159999999999997</v>
      </c>
      <c r="T7">
        <v>47</v>
      </c>
      <c r="U7">
        <v>604.85</v>
      </c>
      <c r="V7">
        <v>43</v>
      </c>
      <c r="W7">
        <v>-726.9</v>
      </c>
      <c r="X7">
        <v>31</v>
      </c>
      <c r="Y7">
        <v>42.22</v>
      </c>
      <c r="Z7">
        <v>43</v>
      </c>
    </row>
    <row r="8" spans="1:26" x14ac:dyDescent="0.25">
      <c r="A8" t="str">
        <f t="shared" si="0"/>
        <v>02</v>
      </c>
      <c r="B8" t="s">
        <v>50</v>
      </c>
      <c r="C8">
        <v>5045.2700000000004</v>
      </c>
      <c r="D8">
        <v>25</v>
      </c>
      <c r="E8">
        <v>2508.9499999999998</v>
      </c>
      <c r="F8">
        <v>11</v>
      </c>
      <c r="G8">
        <v>30.57</v>
      </c>
      <c r="H8">
        <v>48</v>
      </c>
      <c r="I8">
        <v>384.19</v>
      </c>
      <c r="J8">
        <v>23</v>
      </c>
      <c r="K8">
        <v>200.74</v>
      </c>
      <c r="L8">
        <v>22</v>
      </c>
      <c r="M8">
        <v>37.5</v>
      </c>
      <c r="N8">
        <v>47</v>
      </c>
      <c r="O8">
        <v>1363.53</v>
      </c>
      <c r="P8">
        <v>35</v>
      </c>
      <c r="Q8">
        <v>342.42</v>
      </c>
      <c r="R8">
        <v>18</v>
      </c>
      <c r="S8">
        <v>28.57</v>
      </c>
      <c r="T8">
        <v>48</v>
      </c>
      <c r="U8">
        <v>3297.54</v>
      </c>
      <c r="V8">
        <v>21</v>
      </c>
      <c r="W8">
        <v>1965.79</v>
      </c>
      <c r="X8">
        <v>8</v>
      </c>
      <c r="Y8">
        <v>32.08</v>
      </c>
      <c r="Z8">
        <v>45</v>
      </c>
    </row>
    <row r="9" spans="1:26" x14ac:dyDescent="0.25">
      <c r="A9" t="str">
        <f t="shared" si="0"/>
        <v>02</v>
      </c>
      <c r="B9" t="s">
        <v>62</v>
      </c>
      <c r="C9">
        <v>1345.64</v>
      </c>
      <c r="D9">
        <v>43</v>
      </c>
      <c r="E9">
        <v>-1190.68</v>
      </c>
      <c r="F9">
        <v>32</v>
      </c>
      <c r="G9">
        <v>55.05</v>
      </c>
      <c r="H9">
        <v>12</v>
      </c>
      <c r="I9">
        <v>-181.19</v>
      </c>
      <c r="J9">
        <v>37</v>
      </c>
      <c r="K9">
        <v>-364.64</v>
      </c>
      <c r="L9">
        <v>33</v>
      </c>
      <c r="M9">
        <v>73.97</v>
      </c>
      <c r="N9">
        <v>4</v>
      </c>
      <c r="O9">
        <v>667.74</v>
      </c>
      <c r="P9">
        <v>44</v>
      </c>
      <c r="Q9">
        <v>-353.37</v>
      </c>
      <c r="R9">
        <v>26</v>
      </c>
      <c r="S9">
        <v>46.35</v>
      </c>
      <c r="T9">
        <v>29</v>
      </c>
      <c r="U9">
        <v>859.09</v>
      </c>
      <c r="V9">
        <v>40</v>
      </c>
      <c r="W9">
        <v>-472.66</v>
      </c>
      <c r="X9">
        <v>29</v>
      </c>
      <c r="Y9">
        <v>75.709999999999994</v>
      </c>
      <c r="Z9">
        <v>3</v>
      </c>
    </row>
    <row r="10" spans="1:26" x14ac:dyDescent="0.25">
      <c r="A10" t="str">
        <f t="shared" si="0"/>
        <v>03</v>
      </c>
      <c r="B10" t="s">
        <v>27</v>
      </c>
      <c r="C10">
        <v>931.27</v>
      </c>
      <c r="D10">
        <v>44</v>
      </c>
      <c r="E10">
        <v>-6447.74</v>
      </c>
      <c r="F10">
        <v>48</v>
      </c>
      <c r="G10">
        <v>57.48</v>
      </c>
      <c r="H10">
        <v>6</v>
      </c>
      <c r="I10">
        <v>-1113.99</v>
      </c>
      <c r="J10">
        <v>46</v>
      </c>
      <c r="K10">
        <v>-1356.39</v>
      </c>
      <c r="L10">
        <v>45</v>
      </c>
      <c r="M10">
        <v>91.18</v>
      </c>
      <c r="N10">
        <v>1</v>
      </c>
      <c r="O10">
        <v>1272.29</v>
      </c>
      <c r="P10">
        <v>36</v>
      </c>
      <c r="Q10">
        <v>-1424.7</v>
      </c>
      <c r="R10">
        <v>38</v>
      </c>
      <c r="S10">
        <v>47.98</v>
      </c>
      <c r="T10">
        <v>25</v>
      </c>
      <c r="U10">
        <v>772.96</v>
      </c>
      <c r="V10">
        <v>42</v>
      </c>
      <c r="W10">
        <v>-3666.65</v>
      </c>
      <c r="X10">
        <v>44</v>
      </c>
      <c r="Y10">
        <v>56.82</v>
      </c>
      <c r="Z10">
        <v>23</v>
      </c>
    </row>
    <row r="11" spans="1:26" x14ac:dyDescent="0.25">
      <c r="A11" t="str">
        <f t="shared" si="0"/>
        <v>03</v>
      </c>
      <c r="B11" t="s">
        <v>39</v>
      </c>
      <c r="C11">
        <v>10175.879999999999</v>
      </c>
      <c r="D11">
        <v>8</v>
      </c>
      <c r="E11">
        <v>2796.87</v>
      </c>
      <c r="F11">
        <v>10</v>
      </c>
      <c r="G11">
        <v>44.67</v>
      </c>
      <c r="H11">
        <v>41</v>
      </c>
      <c r="I11">
        <v>1518.99</v>
      </c>
      <c r="J11">
        <v>7</v>
      </c>
      <c r="K11">
        <v>1276.5899999999999</v>
      </c>
      <c r="L11">
        <v>3</v>
      </c>
      <c r="M11">
        <v>51.69</v>
      </c>
      <c r="N11">
        <v>34</v>
      </c>
      <c r="O11">
        <v>5547.7</v>
      </c>
      <c r="P11">
        <v>4</v>
      </c>
      <c r="Q11">
        <v>2850.71</v>
      </c>
      <c r="R11">
        <v>3</v>
      </c>
      <c r="S11">
        <v>40.479999999999997</v>
      </c>
      <c r="T11">
        <v>43</v>
      </c>
      <c r="U11">
        <v>3109.18</v>
      </c>
      <c r="V11">
        <v>22</v>
      </c>
      <c r="W11">
        <v>-1330.43</v>
      </c>
      <c r="X11">
        <v>36</v>
      </c>
      <c r="Y11">
        <v>64.209999999999994</v>
      </c>
      <c r="Z11">
        <v>9</v>
      </c>
    </row>
    <row r="12" spans="1:26" x14ac:dyDescent="0.25">
      <c r="A12" t="str">
        <f t="shared" si="0"/>
        <v>03</v>
      </c>
      <c r="B12" t="s">
        <v>51</v>
      </c>
      <c r="C12">
        <v>3542.62</v>
      </c>
      <c r="D12">
        <v>32</v>
      </c>
      <c r="E12">
        <v>-3836.39</v>
      </c>
      <c r="F12">
        <v>42</v>
      </c>
      <c r="G12">
        <v>57.72</v>
      </c>
      <c r="H12">
        <v>5</v>
      </c>
      <c r="I12">
        <v>-358.61</v>
      </c>
      <c r="J12">
        <v>41</v>
      </c>
      <c r="K12">
        <v>-601.01</v>
      </c>
      <c r="L12">
        <v>39</v>
      </c>
      <c r="M12">
        <v>57.95</v>
      </c>
      <c r="N12">
        <v>28</v>
      </c>
      <c r="O12">
        <v>1109.24</v>
      </c>
      <c r="P12">
        <v>40</v>
      </c>
      <c r="Q12">
        <v>-1587.75</v>
      </c>
      <c r="R12">
        <v>40</v>
      </c>
      <c r="S12">
        <v>55.41</v>
      </c>
      <c r="T12">
        <v>6</v>
      </c>
      <c r="U12">
        <v>2791.98</v>
      </c>
      <c r="V12">
        <v>24</v>
      </c>
      <c r="W12">
        <v>-1647.63</v>
      </c>
      <c r="X12">
        <v>41</v>
      </c>
      <c r="Y12">
        <v>71.33</v>
      </c>
      <c r="Z12">
        <v>5</v>
      </c>
    </row>
    <row r="13" spans="1:26" x14ac:dyDescent="0.25">
      <c r="A13" t="str">
        <f t="shared" si="0"/>
        <v>03</v>
      </c>
      <c r="B13" t="s">
        <v>63</v>
      </c>
      <c r="C13">
        <v>14866.28</v>
      </c>
      <c r="D13">
        <v>3</v>
      </c>
      <c r="E13">
        <v>7487.27</v>
      </c>
      <c r="F13">
        <v>2</v>
      </c>
      <c r="G13">
        <v>40.299999999999997</v>
      </c>
      <c r="H13">
        <v>44</v>
      </c>
      <c r="I13">
        <v>923.23</v>
      </c>
      <c r="J13">
        <v>13</v>
      </c>
      <c r="K13">
        <v>680.83</v>
      </c>
      <c r="L13">
        <v>10</v>
      </c>
      <c r="M13">
        <v>51.56</v>
      </c>
      <c r="N13">
        <v>35</v>
      </c>
      <c r="O13">
        <v>2858.72</v>
      </c>
      <c r="P13">
        <v>18</v>
      </c>
      <c r="Q13">
        <v>161.72999999999999</v>
      </c>
      <c r="R13">
        <v>21</v>
      </c>
      <c r="S13">
        <v>41.23</v>
      </c>
      <c r="T13">
        <v>40</v>
      </c>
      <c r="U13">
        <v>11084.33</v>
      </c>
      <c r="V13">
        <v>2</v>
      </c>
      <c r="W13">
        <v>6644.72</v>
      </c>
      <c r="X13">
        <v>1</v>
      </c>
      <c r="Y13">
        <v>45.07</v>
      </c>
      <c r="Z13">
        <v>42</v>
      </c>
    </row>
    <row r="14" spans="1:26" x14ac:dyDescent="0.25">
      <c r="A14" t="str">
        <f t="shared" si="0"/>
        <v>04</v>
      </c>
      <c r="B14" t="s">
        <v>28</v>
      </c>
      <c r="C14">
        <v>3652.86</v>
      </c>
      <c r="D14">
        <v>31</v>
      </c>
      <c r="E14">
        <v>738.09</v>
      </c>
      <c r="F14">
        <v>18</v>
      </c>
      <c r="G14">
        <v>45.01</v>
      </c>
      <c r="H14">
        <v>38</v>
      </c>
      <c r="I14">
        <v>658.01</v>
      </c>
      <c r="J14">
        <v>18</v>
      </c>
      <c r="K14">
        <v>267.51</v>
      </c>
      <c r="L14">
        <v>19</v>
      </c>
      <c r="M14">
        <v>40.909999999999997</v>
      </c>
      <c r="N14">
        <v>45</v>
      </c>
      <c r="O14">
        <v>1006.56</v>
      </c>
      <c r="P14">
        <v>43</v>
      </c>
      <c r="Q14">
        <v>-204.31</v>
      </c>
      <c r="R14">
        <v>25</v>
      </c>
      <c r="S14">
        <v>42.36</v>
      </c>
      <c r="T14">
        <v>38</v>
      </c>
      <c r="U14">
        <v>1988.29</v>
      </c>
      <c r="V14">
        <v>33</v>
      </c>
      <c r="W14">
        <v>674.89</v>
      </c>
      <c r="X14">
        <v>19</v>
      </c>
      <c r="Y14">
        <v>58.62</v>
      </c>
      <c r="Z14">
        <v>20</v>
      </c>
    </row>
    <row r="15" spans="1:26" x14ac:dyDescent="0.25">
      <c r="A15" t="str">
        <f t="shared" si="0"/>
        <v>04</v>
      </c>
      <c r="B15" t="s">
        <v>40</v>
      </c>
      <c r="C15">
        <v>4050.41</v>
      </c>
      <c r="D15">
        <v>30</v>
      </c>
      <c r="E15">
        <v>1135.6400000000001</v>
      </c>
      <c r="F15">
        <v>16</v>
      </c>
      <c r="G15">
        <v>55.12</v>
      </c>
      <c r="H15">
        <v>11</v>
      </c>
      <c r="I15">
        <v>323.43</v>
      </c>
      <c r="J15">
        <v>28</v>
      </c>
      <c r="K15">
        <v>-67.06</v>
      </c>
      <c r="L15">
        <v>28</v>
      </c>
      <c r="M15">
        <v>57.14</v>
      </c>
      <c r="N15">
        <v>31</v>
      </c>
      <c r="O15">
        <v>1527.63</v>
      </c>
      <c r="P15">
        <v>34</v>
      </c>
      <c r="Q15">
        <v>316.76</v>
      </c>
      <c r="R15">
        <v>19</v>
      </c>
      <c r="S15">
        <v>57.1</v>
      </c>
      <c r="T15">
        <v>4</v>
      </c>
      <c r="U15">
        <v>2199.36</v>
      </c>
      <c r="V15">
        <v>29</v>
      </c>
      <c r="W15">
        <v>885.96</v>
      </c>
      <c r="X15">
        <v>16</v>
      </c>
      <c r="Y15">
        <v>62.91</v>
      </c>
      <c r="Z15">
        <v>12</v>
      </c>
    </row>
    <row r="16" spans="1:26" x14ac:dyDescent="0.25">
      <c r="A16" t="str">
        <f t="shared" si="0"/>
        <v>04</v>
      </c>
      <c r="B16" t="s">
        <v>52</v>
      </c>
      <c r="C16">
        <v>3042.29</v>
      </c>
      <c r="D16">
        <v>36</v>
      </c>
      <c r="E16">
        <v>127.52</v>
      </c>
      <c r="F16">
        <v>24</v>
      </c>
      <c r="G16">
        <v>56.2</v>
      </c>
      <c r="H16">
        <v>9</v>
      </c>
      <c r="I16">
        <v>364.83</v>
      </c>
      <c r="J16">
        <v>25</v>
      </c>
      <c r="K16">
        <v>-25.67</v>
      </c>
      <c r="L16">
        <v>24</v>
      </c>
      <c r="M16">
        <v>72.599999999999994</v>
      </c>
      <c r="N16">
        <v>5</v>
      </c>
      <c r="O16">
        <v>-1036.01</v>
      </c>
      <c r="P16">
        <v>47</v>
      </c>
      <c r="Q16">
        <v>-2246.88</v>
      </c>
      <c r="R16">
        <v>45</v>
      </c>
      <c r="S16">
        <v>53.99</v>
      </c>
      <c r="T16">
        <v>10</v>
      </c>
      <c r="U16">
        <v>3713.46</v>
      </c>
      <c r="V16">
        <v>18</v>
      </c>
      <c r="W16">
        <v>2400.06</v>
      </c>
      <c r="X16">
        <v>6</v>
      </c>
      <c r="Y16">
        <v>55.56</v>
      </c>
      <c r="Z16">
        <v>25</v>
      </c>
    </row>
    <row r="17" spans="1:26" x14ac:dyDescent="0.25">
      <c r="A17" t="str">
        <f t="shared" si="0"/>
        <v>04</v>
      </c>
      <c r="B17" t="s">
        <v>64</v>
      </c>
      <c r="C17">
        <v>913.51</v>
      </c>
      <c r="D17">
        <v>45</v>
      </c>
      <c r="E17">
        <v>-2001.26</v>
      </c>
      <c r="F17">
        <v>36</v>
      </c>
      <c r="G17">
        <v>56.28</v>
      </c>
      <c r="H17">
        <v>8</v>
      </c>
      <c r="I17">
        <v>215.71</v>
      </c>
      <c r="J17">
        <v>31</v>
      </c>
      <c r="K17">
        <v>-174.78</v>
      </c>
      <c r="L17">
        <v>31</v>
      </c>
      <c r="M17">
        <v>65.569999999999993</v>
      </c>
      <c r="N17">
        <v>12</v>
      </c>
      <c r="O17">
        <v>3345.3</v>
      </c>
      <c r="P17">
        <v>14</v>
      </c>
      <c r="Q17">
        <v>2134.4299999999998</v>
      </c>
      <c r="R17">
        <v>4</v>
      </c>
      <c r="S17">
        <v>54.87</v>
      </c>
      <c r="T17">
        <v>7</v>
      </c>
      <c r="U17">
        <v>-2647.5</v>
      </c>
      <c r="V17">
        <v>48</v>
      </c>
      <c r="W17">
        <v>-3960.9</v>
      </c>
      <c r="X17">
        <v>47</v>
      </c>
      <c r="Y17">
        <v>59.14</v>
      </c>
      <c r="Z17">
        <v>18</v>
      </c>
    </row>
    <row r="18" spans="1:26" x14ac:dyDescent="0.25">
      <c r="A18" t="str">
        <f t="shared" si="0"/>
        <v>05</v>
      </c>
      <c r="B18" t="s">
        <v>29</v>
      </c>
      <c r="C18">
        <v>2748.73</v>
      </c>
      <c r="D18">
        <v>40</v>
      </c>
      <c r="E18">
        <v>-3052.09</v>
      </c>
      <c r="F18">
        <v>40</v>
      </c>
      <c r="G18">
        <v>49.18</v>
      </c>
      <c r="H18">
        <v>27</v>
      </c>
      <c r="I18">
        <v>-349.13</v>
      </c>
      <c r="J18">
        <v>40</v>
      </c>
      <c r="K18">
        <v>-923.85</v>
      </c>
      <c r="L18">
        <v>43</v>
      </c>
      <c r="M18">
        <v>71.569999999999993</v>
      </c>
      <c r="N18">
        <v>7</v>
      </c>
      <c r="O18">
        <v>1583.44</v>
      </c>
      <c r="P18">
        <v>32</v>
      </c>
      <c r="Q18">
        <v>-761.69</v>
      </c>
      <c r="R18">
        <v>33</v>
      </c>
      <c r="S18">
        <v>42.66</v>
      </c>
      <c r="T18">
        <v>37</v>
      </c>
      <c r="U18">
        <v>1514.41</v>
      </c>
      <c r="V18">
        <v>35</v>
      </c>
      <c r="W18">
        <v>-1366.54</v>
      </c>
      <c r="X18">
        <v>37</v>
      </c>
      <c r="Y18">
        <v>58.24</v>
      </c>
      <c r="Z18">
        <v>21</v>
      </c>
    </row>
    <row r="19" spans="1:26" x14ac:dyDescent="0.25">
      <c r="A19" t="str">
        <f t="shared" si="0"/>
        <v>05</v>
      </c>
      <c r="B19" t="s">
        <v>41</v>
      </c>
      <c r="C19">
        <v>4697.34</v>
      </c>
      <c r="D19">
        <v>27</v>
      </c>
      <c r="E19">
        <v>-1103.48</v>
      </c>
      <c r="F19">
        <v>31</v>
      </c>
      <c r="G19">
        <v>58.83</v>
      </c>
      <c r="H19">
        <v>2</v>
      </c>
      <c r="I19">
        <v>900.58</v>
      </c>
      <c r="J19">
        <v>14</v>
      </c>
      <c r="K19">
        <v>325.86</v>
      </c>
      <c r="L19">
        <v>18</v>
      </c>
      <c r="M19">
        <v>57.94</v>
      </c>
      <c r="N19">
        <v>29</v>
      </c>
      <c r="O19">
        <v>1758.68</v>
      </c>
      <c r="P19">
        <v>30</v>
      </c>
      <c r="Q19">
        <v>-586.45000000000005</v>
      </c>
      <c r="R19">
        <v>31</v>
      </c>
      <c r="S19">
        <v>56.13</v>
      </c>
      <c r="T19">
        <v>5</v>
      </c>
      <c r="U19">
        <v>2038.07</v>
      </c>
      <c r="V19">
        <v>31</v>
      </c>
      <c r="W19">
        <v>-842.88</v>
      </c>
      <c r="X19">
        <v>34</v>
      </c>
      <c r="Y19">
        <v>76.67</v>
      </c>
      <c r="Z19">
        <v>2</v>
      </c>
    </row>
    <row r="20" spans="1:26" x14ac:dyDescent="0.25">
      <c r="A20" t="str">
        <f t="shared" si="0"/>
        <v>05</v>
      </c>
      <c r="B20" t="s">
        <v>53</v>
      </c>
      <c r="C20">
        <v>8760.91</v>
      </c>
      <c r="D20">
        <v>15</v>
      </c>
      <c r="E20">
        <v>2960.09</v>
      </c>
      <c r="F20">
        <v>9</v>
      </c>
      <c r="G20">
        <v>49.72</v>
      </c>
      <c r="H20">
        <v>26</v>
      </c>
      <c r="I20">
        <v>1839.44</v>
      </c>
      <c r="J20">
        <v>5</v>
      </c>
      <c r="K20">
        <v>1264.72</v>
      </c>
      <c r="L20">
        <v>4</v>
      </c>
      <c r="M20">
        <v>49.22</v>
      </c>
      <c r="N20">
        <v>39</v>
      </c>
      <c r="O20">
        <v>2409.39</v>
      </c>
      <c r="P20">
        <v>23</v>
      </c>
      <c r="Q20">
        <v>64.260000000000005</v>
      </c>
      <c r="R20">
        <v>22</v>
      </c>
      <c r="S20">
        <v>50.96</v>
      </c>
      <c r="T20">
        <v>17</v>
      </c>
      <c r="U20">
        <v>4512.07</v>
      </c>
      <c r="V20">
        <v>13</v>
      </c>
      <c r="W20">
        <v>1631.11</v>
      </c>
      <c r="X20">
        <v>11</v>
      </c>
      <c r="Y20">
        <v>64.290000000000006</v>
      </c>
      <c r="Z20">
        <v>8</v>
      </c>
    </row>
    <row r="21" spans="1:26" x14ac:dyDescent="0.25">
      <c r="A21" t="str">
        <f t="shared" si="0"/>
        <v>05</v>
      </c>
      <c r="B21" t="s">
        <v>65</v>
      </c>
      <c r="C21">
        <v>6996.29</v>
      </c>
      <c r="D21">
        <v>21</v>
      </c>
      <c r="E21">
        <v>1195.47</v>
      </c>
      <c r="F21">
        <v>13</v>
      </c>
      <c r="G21">
        <v>45.84</v>
      </c>
      <c r="H21">
        <v>36</v>
      </c>
      <c r="I21">
        <v>-92</v>
      </c>
      <c r="J21">
        <v>35</v>
      </c>
      <c r="K21">
        <v>-666.72</v>
      </c>
      <c r="L21">
        <v>41</v>
      </c>
      <c r="M21">
        <v>59.26</v>
      </c>
      <c r="N21">
        <v>24</v>
      </c>
      <c r="O21">
        <v>3629.02</v>
      </c>
      <c r="P21">
        <v>12</v>
      </c>
      <c r="Q21">
        <v>1283.8900000000001</v>
      </c>
      <c r="R21">
        <v>10</v>
      </c>
      <c r="S21">
        <v>42.78</v>
      </c>
      <c r="T21">
        <v>36</v>
      </c>
      <c r="U21">
        <v>3459.27</v>
      </c>
      <c r="V21">
        <v>20</v>
      </c>
      <c r="W21">
        <v>578.32000000000005</v>
      </c>
      <c r="X21">
        <v>21</v>
      </c>
      <c r="Y21">
        <v>46.95</v>
      </c>
      <c r="Z21">
        <v>40</v>
      </c>
    </row>
    <row r="22" spans="1:26" x14ac:dyDescent="0.25">
      <c r="A22" t="str">
        <f t="shared" si="0"/>
        <v>06</v>
      </c>
      <c r="B22" t="s">
        <v>30</v>
      </c>
      <c r="C22">
        <v>4981.97</v>
      </c>
      <c r="D22">
        <v>26</v>
      </c>
      <c r="E22">
        <v>-523.76</v>
      </c>
      <c r="F22">
        <v>29</v>
      </c>
      <c r="G22">
        <v>55.34</v>
      </c>
      <c r="H22">
        <v>10</v>
      </c>
      <c r="I22">
        <v>596.32000000000005</v>
      </c>
      <c r="J22">
        <v>19</v>
      </c>
      <c r="K22">
        <v>335.5</v>
      </c>
      <c r="L22">
        <v>17</v>
      </c>
      <c r="M22">
        <v>50</v>
      </c>
      <c r="N22">
        <v>37</v>
      </c>
      <c r="O22">
        <v>3036.88</v>
      </c>
      <c r="P22">
        <v>16</v>
      </c>
      <c r="Q22">
        <v>173.59</v>
      </c>
      <c r="R22">
        <v>20</v>
      </c>
      <c r="S22">
        <v>57.23</v>
      </c>
      <c r="T22">
        <v>3</v>
      </c>
      <c r="U22">
        <v>1348.78</v>
      </c>
      <c r="V22">
        <v>36</v>
      </c>
      <c r="W22">
        <v>-1032.8499999999999</v>
      </c>
      <c r="X22">
        <v>35</v>
      </c>
      <c r="Y22">
        <v>59.74</v>
      </c>
      <c r="Z22">
        <v>16</v>
      </c>
    </row>
    <row r="23" spans="1:26" x14ac:dyDescent="0.25">
      <c r="A23" t="str">
        <f t="shared" si="0"/>
        <v>06</v>
      </c>
      <c r="B23" t="s">
        <v>42</v>
      </c>
      <c r="C23">
        <v>3337.32</v>
      </c>
      <c r="D23">
        <v>35</v>
      </c>
      <c r="E23">
        <v>-2168.41</v>
      </c>
      <c r="F23">
        <v>37</v>
      </c>
      <c r="G23">
        <v>62.42</v>
      </c>
      <c r="H23">
        <v>1</v>
      </c>
      <c r="I23">
        <v>-410.9</v>
      </c>
      <c r="J23">
        <v>42</v>
      </c>
      <c r="K23">
        <v>-671.72</v>
      </c>
      <c r="L23">
        <v>42</v>
      </c>
      <c r="M23">
        <v>72.569999999999993</v>
      </c>
      <c r="N23">
        <v>6</v>
      </c>
      <c r="O23">
        <v>2195.39</v>
      </c>
      <c r="P23">
        <v>27</v>
      </c>
      <c r="Q23">
        <v>-667.9</v>
      </c>
      <c r="R23">
        <v>32</v>
      </c>
      <c r="S23">
        <v>59.8</v>
      </c>
      <c r="T23">
        <v>2</v>
      </c>
      <c r="U23">
        <v>1552.83</v>
      </c>
      <c r="V23">
        <v>34</v>
      </c>
      <c r="W23">
        <v>-828.8</v>
      </c>
      <c r="X23">
        <v>33</v>
      </c>
      <c r="Y23">
        <v>58.97</v>
      </c>
      <c r="Z23">
        <v>19</v>
      </c>
    </row>
    <row r="24" spans="1:26" x14ac:dyDescent="0.25">
      <c r="A24" t="str">
        <f t="shared" si="0"/>
        <v>06</v>
      </c>
      <c r="B24" t="s">
        <v>54</v>
      </c>
      <c r="C24">
        <v>5062.3500000000004</v>
      </c>
      <c r="D24">
        <v>24</v>
      </c>
      <c r="E24">
        <v>-443.38</v>
      </c>
      <c r="F24">
        <v>27</v>
      </c>
      <c r="G24">
        <v>46.13</v>
      </c>
      <c r="H24">
        <v>35</v>
      </c>
      <c r="I24">
        <v>-88.7</v>
      </c>
      <c r="J24">
        <v>34</v>
      </c>
      <c r="K24">
        <v>-349.52</v>
      </c>
      <c r="L24">
        <v>32</v>
      </c>
      <c r="M24">
        <v>69.17</v>
      </c>
      <c r="N24">
        <v>10</v>
      </c>
      <c r="O24">
        <v>2761.89</v>
      </c>
      <c r="P24">
        <v>21</v>
      </c>
      <c r="Q24">
        <v>-101.4</v>
      </c>
      <c r="R24">
        <v>24</v>
      </c>
      <c r="S24">
        <v>40.909999999999997</v>
      </c>
      <c r="T24">
        <v>42</v>
      </c>
      <c r="U24">
        <v>2389.16</v>
      </c>
      <c r="V24">
        <v>27</v>
      </c>
      <c r="W24">
        <v>7.53</v>
      </c>
      <c r="X24">
        <v>24</v>
      </c>
      <c r="Y24">
        <v>50</v>
      </c>
      <c r="Z24">
        <v>33</v>
      </c>
    </row>
    <row r="25" spans="1:26" x14ac:dyDescent="0.25">
      <c r="A25" t="str">
        <f t="shared" si="0"/>
        <v>06</v>
      </c>
      <c r="B25" t="s">
        <v>66</v>
      </c>
      <c r="C25">
        <v>8641.2800000000007</v>
      </c>
      <c r="D25">
        <v>16</v>
      </c>
      <c r="E25">
        <v>3135.55</v>
      </c>
      <c r="F25">
        <v>8</v>
      </c>
      <c r="G25">
        <v>53.69</v>
      </c>
      <c r="H25">
        <v>17</v>
      </c>
      <c r="I25">
        <v>946.56</v>
      </c>
      <c r="J25">
        <v>12</v>
      </c>
      <c r="K25">
        <v>685.74</v>
      </c>
      <c r="L25">
        <v>9</v>
      </c>
      <c r="M25">
        <v>70</v>
      </c>
      <c r="N25">
        <v>8</v>
      </c>
      <c r="O25">
        <v>3458.99</v>
      </c>
      <c r="P25">
        <v>13</v>
      </c>
      <c r="Q25">
        <v>595.70000000000005</v>
      </c>
      <c r="R25">
        <v>14</v>
      </c>
      <c r="S25">
        <v>50.25</v>
      </c>
      <c r="T25">
        <v>18</v>
      </c>
      <c r="U25">
        <v>4235.7299999999996</v>
      </c>
      <c r="V25">
        <v>14</v>
      </c>
      <c r="W25">
        <v>1854.1</v>
      </c>
      <c r="X25">
        <v>9</v>
      </c>
      <c r="Y25">
        <v>55.78</v>
      </c>
      <c r="Z25">
        <v>24</v>
      </c>
    </row>
    <row r="26" spans="1:26" x14ac:dyDescent="0.25">
      <c r="A26" t="str">
        <f t="shared" si="0"/>
        <v>07</v>
      </c>
      <c r="B26" t="s">
        <v>31</v>
      </c>
      <c r="C26">
        <v>-751.33</v>
      </c>
      <c r="D26">
        <v>47</v>
      </c>
      <c r="E26">
        <v>-4603.01</v>
      </c>
      <c r="F26">
        <v>44</v>
      </c>
      <c r="G26">
        <v>56.48</v>
      </c>
      <c r="H26">
        <v>7</v>
      </c>
      <c r="I26">
        <v>374.25</v>
      </c>
      <c r="J26">
        <v>24</v>
      </c>
      <c r="K26">
        <v>-29.64</v>
      </c>
      <c r="L26">
        <v>25</v>
      </c>
      <c r="M26">
        <v>60.53</v>
      </c>
      <c r="N26">
        <v>20</v>
      </c>
      <c r="O26">
        <v>-2429.66</v>
      </c>
      <c r="P26">
        <v>48</v>
      </c>
      <c r="Q26">
        <v>-3044.01</v>
      </c>
      <c r="R26">
        <v>48</v>
      </c>
      <c r="S26">
        <v>53.94</v>
      </c>
      <c r="T26">
        <v>11</v>
      </c>
      <c r="U26">
        <v>1304.08</v>
      </c>
      <c r="V26">
        <v>37</v>
      </c>
      <c r="W26">
        <v>-1529.36</v>
      </c>
      <c r="X26">
        <v>39</v>
      </c>
      <c r="Y26">
        <v>63.21</v>
      </c>
      <c r="Z26">
        <v>10</v>
      </c>
    </row>
    <row r="27" spans="1:26" x14ac:dyDescent="0.25">
      <c r="A27" t="str">
        <f t="shared" si="0"/>
        <v>07</v>
      </c>
      <c r="B27" t="s">
        <v>43</v>
      </c>
      <c r="C27">
        <v>3385.03</v>
      </c>
      <c r="D27">
        <v>34</v>
      </c>
      <c r="E27">
        <v>-466.65</v>
      </c>
      <c r="F27">
        <v>28</v>
      </c>
      <c r="G27">
        <v>50.44</v>
      </c>
      <c r="H27">
        <v>24</v>
      </c>
      <c r="I27">
        <v>-232.48</v>
      </c>
      <c r="J27">
        <v>38</v>
      </c>
      <c r="K27">
        <v>-636.37</v>
      </c>
      <c r="L27">
        <v>40</v>
      </c>
      <c r="M27">
        <v>77.59</v>
      </c>
      <c r="N27">
        <v>3</v>
      </c>
      <c r="O27">
        <v>1117.55</v>
      </c>
      <c r="P27">
        <v>39</v>
      </c>
      <c r="Q27">
        <v>503.2</v>
      </c>
      <c r="R27">
        <v>16</v>
      </c>
      <c r="S27">
        <v>44.41</v>
      </c>
      <c r="T27">
        <v>34</v>
      </c>
      <c r="U27">
        <v>2499.96</v>
      </c>
      <c r="V27">
        <v>25</v>
      </c>
      <c r="W27">
        <v>-333.48</v>
      </c>
      <c r="X27">
        <v>26</v>
      </c>
      <c r="Y27">
        <v>30.39</v>
      </c>
      <c r="Z27">
        <v>46</v>
      </c>
    </row>
    <row r="28" spans="1:26" x14ac:dyDescent="0.25">
      <c r="A28" t="str">
        <f t="shared" si="0"/>
        <v>07</v>
      </c>
      <c r="B28" t="s">
        <v>55</v>
      </c>
      <c r="C28">
        <v>4517.25</v>
      </c>
      <c r="D28">
        <v>29</v>
      </c>
      <c r="E28">
        <v>665.57</v>
      </c>
      <c r="F28">
        <v>19</v>
      </c>
      <c r="G28">
        <v>52.09</v>
      </c>
      <c r="H28">
        <v>21</v>
      </c>
      <c r="I28">
        <v>1136.28</v>
      </c>
      <c r="J28">
        <v>10</v>
      </c>
      <c r="K28">
        <v>732.39</v>
      </c>
      <c r="L28">
        <v>8</v>
      </c>
      <c r="M28">
        <v>48.17</v>
      </c>
      <c r="N28">
        <v>40</v>
      </c>
      <c r="O28">
        <v>1123.96</v>
      </c>
      <c r="P28">
        <v>38</v>
      </c>
      <c r="Q28">
        <v>509.61</v>
      </c>
      <c r="R28">
        <v>15</v>
      </c>
      <c r="S28">
        <v>50.11</v>
      </c>
      <c r="T28">
        <v>19</v>
      </c>
      <c r="U28">
        <v>2257.0100000000002</v>
      </c>
      <c r="V28">
        <v>28</v>
      </c>
      <c r="W28">
        <v>-576.42999999999995</v>
      </c>
      <c r="X28">
        <v>30</v>
      </c>
      <c r="Y28">
        <v>65.349999999999994</v>
      </c>
      <c r="Z28">
        <v>7</v>
      </c>
    </row>
    <row r="29" spans="1:26" x14ac:dyDescent="0.25">
      <c r="A29" t="str">
        <f t="shared" si="0"/>
        <v>07</v>
      </c>
      <c r="B29" t="s">
        <v>67</v>
      </c>
      <c r="C29">
        <v>8255.7800000000007</v>
      </c>
      <c r="D29">
        <v>18</v>
      </c>
      <c r="E29">
        <v>4404.1000000000004</v>
      </c>
      <c r="F29">
        <v>5</v>
      </c>
      <c r="G29">
        <v>45.48</v>
      </c>
      <c r="H29">
        <v>37</v>
      </c>
      <c r="I29">
        <v>337.52</v>
      </c>
      <c r="J29">
        <v>27</v>
      </c>
      <c r="K29">
        <v>-66.37</v>
      </c>
      <c r="L29">
        <v>27</v>
      </c>
      <c r="M29">
        <v>55.67</v>
      </c>
      <c r="N29">
        <v>32</v>
      </c>
      <c r="O29">
        <v>2645.54</v>
      </c>
      <c r="P29">
        <v>22</v>
      </c>
      <c r="Q29">
        <v>2031.19</v>
      </c>
      <c r="R29">
        <v>5</v>
      </c>
      <c r="S29">
        <v>45.97</v>
      </c>
      <c r="T29">
        <v>30</v>
      </c>
      <c r="U29">
        <v>5272.72</v>
      </c>
      <c r="V29">
        <v>11</v>
      </c>
      <c r="W29">
        <v>2439.2800000000002</v>
      </c>
      <c r="X29">
        <v>5</v>
      </c>
      <c r="Y29">
        <v>46.33</v>
      </c>
      <c r="Z29">
        <v>41</v>
      </c>
    </row>
    <row r="30" spans="1:26" x14ac:dyDescent="0.25">
      <c r="A30" t="str">
        <f t="shared" si="0"/>
        <v>08</v>
      </c>
      <c r="B30" t="s">
        <v>32</v>
      </c>
      <c r="C30">
        <v>5460.51</v>
      </c>
      <c r="D30">
        <v>22</v>
      </c>
      <c r="E30">
        <v>-199.66</v>
      </c>
      <c r="F30">
        <v>25</v>
      </c>
      <c r="G30">
        <v>44.94</v>
      </c>
      <c r="H30">
        <v>39</v>
      </c>
      <c r="I30">
        <v>663.47</v>
      </c>
      <c r="J30">
        <v>17</v>
      </c>
      <c r="K30">
        <v>653.96</v>
      </c>
      <c r="L30">
        <v>11</v>
      </c>
      <c r="M30">
        <v>38.32</v>
      </c>
      <c r="N30">
        <v>46</v>
      </c>
      <c r="O30">
        <v>2806.81</v>
      </c>
      <c r="P30">
        <v>20</v>
      </c>
      <c r="Q30">
        <v>-443.32</v>
      </c>
      <c r="R30">
        <v>28</v>
      </c>
      <c r="S30">
        <v>48.03</v>
      </c>
      <c r="T30">
        <v>24</v>
      </c>
      <c r="U30">
        <v>1990.23</v>
      </c>
      <c r="V30">
        <v>32</v>
      </c>
      <c r="W30">
        <v>-410.29</v>
      </c>
      <c r="X30">
        <v>28</v>
      </c>
      <c r="Y30">
        <v>49.63</v>
      </c>
      <c r="Z30">
        <v>35</v>
      </c>
    </row>
    <row r="31" spans="1:26" x14ac:dyDescent="0.25">
      <c r="A31" t="str">
        <f t="shared" si="0"/>
        <v>08</v>
      </c>
      <c r="B31" t="s">
        <v>44</v>
      </c>
      <c r="C31">
        <v>5380.48</v>
      </c>
      <c r="D31">
        <v>23</v>
      </c>
      <c r="E31">
        <v>-279.69</v>
      </c>
      <c r="F31">
        <v>26</v>
      </c>
      <c r="G31">
        <v>52.47</v>
      </c>
      <c r="H31">
        <v>18</v>
      </c>
      <c r="I31">
        <v>-491.94</v>
      </c>
      <c r="J31">
        <v>44</v>
      </c>
      <c r="K31">
        <v>-501.46</v>
      </c>
      <c r="L31">
        <v>36</v>
      </c>
      <c r="M31">
        <v>68.38</v>
      </c>
      <c r="N31">
        <v>11</v>
      </c>
      <c r="O31">
        <v>2237.89</v>
      </c>
      <c r="P31">
        <v>26</v>
      </c>
      <c r="Q31">
        <v>-1012.24</v>
      </c>
      <c r="R31">
        <v>36</v>
      </c>
      <c r="S31">
        <v>49.33</v>
      </c>
      <c r="T31">
        <v>23</v>
      </c>
      <c r="U31">
        <v>3634.53</v>
      </c>
      <c r="V31">
        <v>19</v>
      </c>
      <c r="W31">
        <v>1234.01</v>
      </c>
      <c r="X31">
        <v>14</v>
      </c>
      <c r="Y31">
        <v>50.86</v>
      </c>
      <c r="Z31">
        <v>31</v>
      </c>
    </row>
    <row r="32" spans="1:26" x14ac:dyDescent="0.25">
      <c r="A32" t="str">
        <f t="shared" si="0"/>
        <v>08</v>
      </c>
      <c r="B32" t="s">
        <v>56</v>
      </c>
      <c r="C32">
        <v>2115.2600000000002</v>
      </c>
      <c r="D32">
        <v>42</v>
      </c>
      <c r="E32">
        <v>-3544.91</v>
      </c>
      <c r="F32">
        <v>41</v>
      </c>
      <c r="G32">
        <v>58.36</v>
      </c>
      <c r="H32">
        <v>3</v>
      </c>
      <c r="I32">
        <v>-491.01</v>
      </c>
      <c r="J32">
        <v>43</v>
      </c>
      <c r="K32">
        <v>-500.52</v>
      </c>
      <c r="L32">
        <v>35</v>
      </c>
      <c r="M32">
        <v>78.63</v>
      </c>
      <c r="N32">
        <v>2</v>
      </c>
      <c r="O32">
        <v>1728.68</v>
      </c>
      <c r="P32">
        <v>31</v>
      </c>
      <c r="Q32">
        <v>-1521.45</v>
      </c>
      <c r="R32">
        <v>39</v>
      </c>
      <c r="S32">
        <v>52.88</v>
      </c>
      <c r="T32">
        <v>12</v>
      </c>
      <c r="U32">
        <v>877.59</v>
      </c>
      <c r="V32">
        <v>39</v>
      </c>
      <c r="W32">
        <v>-1522.93</v>
      </c>
      <c r="X32">
        <v>38</v>
      </c>
      <c r="Y32">
        <v>62.04</v>
      </c>
      <c r="Z32">
        <v>15</v>
      </c>
    </row>
    <row r="33" spans="1:26" x14ac:dyDescent="0.25">
      <c r="A33" t="str">
        <f t="shared" si="0"/>
        <v>08</v>
      </c>
      <c r="B33" t="s">
        <v>68</v>
      </c>
      <c r="C33">
        <v>9684.43</v>
      </c>
      <c r="D33">
        <v>11</v>
      </c>
      <c r="E33">
        <v>4024.26</v>
      </c>
      <c r="F33">
        <v>6</v>
      </c>
      <c r="G33">
        <v>52.25</v>
      </c>
      <c r="H33">
        <v>19</v>
      </c>
      <c r="I33">
        <v>357.54</v>
      </c>
      <c r="J33">
        <v>26</v>
      </c>
      <c r="K33">
        <v>348.02</v>
      </c>
      <c r="L33">
        <v>16</v>
      </c>
      <c r="M33">
        <v>53.03</v>
      </c>
      <c r="N33">
        <v>33</v>
      </c>
      <c r="O33">
        <v>6227.16</v>
      </c>
      <c r="P33">
        <v>2</v>
      </c>
      <c r="Q33">
        <v>2977.03</v>
      </c>
      <c r="R33">
        <v>2</v>
      </c>
      <c r="S33">
        <v>51.99</v>
      </c>
      <c r="T33">
        <v>16</v>
      </c>
      <c r="U33">
        <v>3099.73</v>
      </c>
      <c r="V33">
        <v>23</v>
      </c>
      <c r="W33">
        <v>699.21</v>
      </c>
      <c r="X33">
        <v>18</v>
      </c>
      <c r="Y33">
        <v>59.33</v>
      </c>
      <c r="Z33">
        <v>17</v>
      </c>
    </row>
    <row r="34" spans="1:26" x14ac:dyDescent="0.25">
      <c r="A34" t="str">
        <f t="shared" si="0"/>
        <v>09</v>
      </c>
      <c r="B34" t="s">
        <v>33</v>
      </c>
      <c r="C34">
        <v>7861.99</v>
      </c>
      <c r="D34">
        <v>19</v>
      </c>
      <c r="E34">
        <v>-1642.09</v>
      </c>
      <c r="F34">
        <v>34</v>
      </c>
      <c r="G34">
        <v>54.47</v>
      </c>
      <c r="H34">
        <v>13</v>
      </c>
      <c r="I34">
        <v>1872.23</v>
      </c>
      <c r="J34">
        <v>4</v>
      </c>
      <c r="K34">
        <v>449.17</v>
      </c>
      <c r="L34">
        <v>13</v>
      </c>
      <c r="M34">
        <v>59.62</v>
      </c>
      <c r="N34">
        <v>22</v>
      </c>
      <c r="O34">
        <v>6219.79</v>
      </c>
      <c r="P34">
        <v>3</v>
      </c>
      <c r="Q34">
        <v>1832.85</v>
      </c>
      <c r="R34">
        <v>7</v>
      </c>
      <c r="S34">
        <v>52.67</v>
      </c>
      <c r="T34">
        <v>13</v>
      </c>
      <c r="U34">
        <v>-230.04</v>
      </c>
      <c r="V34">
        <v>45</v>
      </c>
      <c r="W34">
        <v>-3924.13</v>
      </c>
      <c r="X34">
        <v>46</v>
      </c>
      <c r="Y34">
        <v>63.1</v>
      </c>
      <c r="Z34">
        <v>11</v>
      </c>
    </row>
    <row r="35" spans="1:26" x14ac:dyDescent="0.25">
      <c r="A35" t="str">
        <f t="shared" si="0"/>
        <v>09</v>
      </c>
      <c r="B35" t="s">
        <v>45</v>
      </c>
      <c r="C35">
        <v>8575.23</v>
      </c>
      <c r="D35">
        <v>17</v>
      </c>
      <c r="E35">
        <v>-928.85</v>
      </c>
      <c r="F35">
        <v>30</v>
      </c>
      <c r="G35">
        <v>39.090000000000003</v>
      </c>
      <c r="H35">
        <v>46</v>
      </c>
      <c r="I35">
        <v>1340.59</v>
      </c>
      <c r="J35">
        <v>8</v>
      </c>
      <c r="K35">
        <v>-82.47</v>
      </c>
      <c r="L35">
        <v>29</v>
      </c>
      <c r="M35">
        <v>43.66</v>
      </c>
      <c r="N35">
        <v>43</v>
      </c>
      <c r="O35">
        <v>2309.61</v>
      </c>
      <c r="P35">
        <v>24</v>
      </c>
      <c r="Q35">
        <v>-2077.33</v>
      </c>
      <c r="R35">
        <v>44</v>
      </c>
      <c r="S35">
        <v>41.08</v>
      </c>
      <c r="T35">
        <v>41</v>
      </c>
      <c r="U35">
        <v>4925.03</v>
      </c>
      <c r="V35">
        <v>12</v>
      </c>
      <c r="W35">
        <v>1230.94</v>
      </c>
      <c r="X35">
        <v>15</v>
      </c>
      <c r="Y35">
        <v>32.840000000000003</v>
      </c>
      <c r="Z35">
        <v>44</v>
      </c>
    </row>
    <row r="36" spans="1:26" x14ac:dyDescent="0.25">
      <c r="A36" t="str">
        <f t="shared" si="0"/>
        <v>09</v>
      </c>
      <c r="B36" t="s">
        <v>57</v>
      </c>
      <c r="C36">
        <v>10694.85</v>
      </c>
      <c r="D36">
        <v>6</v>
      </c>
      <c r="E36">
        <v>1190.77</v>
      </c>
      <c r="F36">
        <v>14</v>
      </c>
      <c r="G36">
        <v>47.28</v>
      </c>
      <c r="H36">
        <v>33</v>
      </c>
      <c r="I36">
        <v>846.82</v>
      </c>
      <c r="J36">
        <v>15</v>
      </c>
      <c r="K36">
        <v>-576.24</v>
      </c>
      <c r="L36">
        <v>38</v>
      </c>
      <c r="M36">
        <v>60.81</v>
      </c>
      <c r="N36">
        <v>19</v>
      </c>
      <c r="O36">
        <v>3928.01</v>
      </c>
      <c r="P36">
        <v>10</v>
      </c>
      <c r="Q36">
        <v>-458.93</v>
      </c>
      <c r="R36">
        <v>29</v>
      </c>
      <c r="S36">
        <v>45.81</v>
      </c>
      <c r="T36">
        <v>32</v>
      </c>
      <c r="U36">
        <v>5920.02</v>
      </c>
      <c r="V36">
        <v>8</v>
      </c>
      <c r="W36">
        <v>2225.9299999999998</v>
      </c>
      <c r="X36">
        <v>7</v>
      </c>
      <c r="Y36">
        <v>47.71</v>
      </c>
      <c r="Z36">
        <v>39</v>
      </c>
    </row>
    <row r="37" spans="1:26" x14ac:dyDescent="0.25">
      <c r="A37" t="str">
        <f t="shared" si="0"/>
        <v>09</v>
      </c>
      <c r="B37" t="s">
        <v>69</v>
      </c>
      <c r="C37">
        <v>10884.25</v>
      </c>
      <c r="D37">
        <v>5</v>
      </c>
      <c r="E37">
        <v>1380.17</v>
      </c>
      <c r="F37">
        <v>12</v>
      </c>
      <c r="G37">
        <v>48.97</v>
      </c>
      <c r="H37">
        <v>29</v>
      </c>
      <c r="I37">
        <v>1632.58</v>
      </c>
      <c r="J37">
        <v>6</v>
      </c>
      <c r="K37">
        <v>209.52</v>
      </c>
      <c r="L37">
        <v>21</v>
      </c>
      <c r="M37">
        <v>60.83</v>
      </c>
      <c r="N37">
        <v>18</v>
      </c>
      <c r="O37">
        <v>5090.33</v>
      </c>
      <c r="P37">
        <v>6</v>
      </c>
      <c r="Q37">
        <v>703.39</v>
      </c>
      <c r="R37">
        <v>13</v>
      </c>
      <c r="S37">
        <v>47.57</v>
      </c>
      <c r="T37">
        <v>26</v>
      </c>
      <c r="U37">
        <v>4161.34</v>
      </c>
      <c r="V37">
        <v>15</v>
      </c>
      <c r="W37">
        <v>467.25</v>
      </c>
      <c r="X37">
        <v>22</v>
      </c>
      <c r="Y37">
        <v>52.34</v>
      </c>
      <c r="Z37">
        <v>29</v>
      </c>
    </row>
    <row r="38" spans="1:26" x14ac:dyDescent="0.25">
      <c r="A38" t="str">
        <f t="shared" si="0"/>
        <v>10</v>
      </c>
      <c r="B38" t="s">
        <v>34</v>
      </c>
      <c r="C38">
        <v>3501.87</v>
      </c>
      <c r="D38">
        <v>33</v>
      </c>
      <c r="E38">
        <v>-4497.38</v>
      </c>
      <c r="F38">
        <v>43</v>
      </c>
      <c r="G38">
        <v>52.25</v>
      </c>
      <c r="H38">
        <v>20</v>
      </c>
      <c r="I38">
        <v>253.2</v>
      </c>
      <c r="J38">
        <v>30</v>
      </c>
      <c r="K38">
        <v>1000.73</v>
      </c>
      <c r="L38">
        <v>6</v>
      </c>
      <c r="M38">
        <v>50.38</v>
      </c>
      <c r="N38">
        <v>36</v>
      </c>
      <c r="O38">
        <v>1167.22</v>
      </c>
      <c r="P38">
        <v>37</v>
      </c>
      <c r="Q38">
        <v>-1620.59</v>
      </c>
      <c r="R38">
        <v>41</v>
      </c>
      <c r="S38">
        <v>52.37</v>
      </c>
      <c r="T38">
        <v>14</v>
      </c>
      <c r="U38">
        <v>2081.4499999999998</v>
      </c>
      <c r="V38">
        <v>30</v>
      </c>
      <c r="W38">
        <v>-3877.52</v>
      </c>
      <c r="X38">
        <v>45</v>
      </c>
      <c r="Y38">
        <v>65.77</v>
      </c>
      <c r="Z38">
        <v>6</v>
      </c>
    </row>
    <row r="39" spans="1:26" x14ac:dyDescent="0.25">
      <c r="A39" t="str">
        <f t="shared" si="0"/>
        <v>10</v>
      </c>
      <c r="B39" t="s">
        <v>46</v>
      </c>
      <c r="C39">
        <v>2985.65</v>
      </c>
      <c r="D39">
        <v>37</v>
      </c>
      <c r="E39">
        <v>-5013.6000000000004</v>
      </c>
      <c r="F39">
        <v>46</v>
      </c>
      <c r="G39">
        <v>50.23</v>
      </c>
      <c r="H39">
        <v>25</v>
      </c>
      <c r="I39">
        <v>-585.48</v>
      </c>
      <c r="J39">
        <v>45</v>
      </c>
      <c r="K39">
        <v>162.05000000000001</v>
      </c>
      <c r="L39">
        <v>23</v>
      </c>
      <c r="M39">
        <v>65.25</v>
      </c>
      <c r="N39">
        <v>14</v>
      </c>
      <c r="O39">
        <v>1094.57</v>
      </c>
      <c r="P39">
        <v>41</v>
      </c>
      <c r="Q39">
        <v>-1693.24</v>
      </c>
      <c r="R39">
        <v>42</v>
      </c>
      <c r="S39">
        <v>46.78</v>
      </c>
      <c r="T39">
        <v>27</v>
      </c>
      <c r="U39">
        <v>2476.56</v>
      </c>
      <c r="V39">
        <v>26</v>
      </c>
      <c r="W39">
        <v>-3482.41</v>
      </c>
      <c r="X39">
        <v>43</v>
      </c>
      <c r="Y39">
        <v>49.66</v>
      </c>
      <c r="Z39">
        <v>34</v>
      </c>
    </row>
    <row r="40" spans="1:26" x14ac:dyDescent="0.25">
      <c r="A40" t="str">
        <f t="shared" si="0"/>
        <v>10</v>
      </c>
      <c r="B40" t="s">
        <v>58</v>
      </c>
      <c r="C40">
        <v>16370.6</v>
      </c>
      <c r="D40">
        <v>2</v>
      </c>
      <c r="E40">
        <v>8371.35</v>
      </c>
      <c r="F40">
        <v>1</v>
      </c>
      <c r="G40">
        <v>44.53</v>
      </c>
      <c r="H40">
        <v>42</v>
      </c>
      <c r="I40">
        <v>-132.47999999999999</v>
      </c>
      <c r="J40">
        <v>36</v>
      </c>
      <c r="K40">
        <v>615.04999999999995</v>
      </c>
      <c r="L40">
        <v>12</v>
      </c>
      <c r="M40">
        <v>64.92</v>
      </c>
      <c r="N40">
        <v>15</v>
      </c>
      <c r="O40">
        <v>4774.46</v>
      </c>
      <c r="P40">
        <v>7</v>
      </c>
      <c r="Q40">
        <v>1986.65</v>
      </c>
      <c r="R40">
        <v>6</v>
      </c>
      <c r="S40">
        <v>39.090000000000003</v>
      </c>
      <c r="T40">
        <v>45</v>
      </c>
      <c r="U40">
        <v>11728.62</v>
      </c>
      <c r="V40">
        <v>1</v>
      </c>
      <c r="W40">
        <v>5769.65</v>
      </c>
      <c r="X40">
        <v>2</v>
      </c>
      <c r="Y40">
        <v>48.31</v>
      </c>
      <c r="Z40">
        <v>37</v>
      </c>
    </row>
    <row r="41" spans="1:26" x14ac:dyDescent="0.25">
      <c r="A41" t="str">
        <f t="shared" si="0"/>
        <v>10</v>
      </c>
      <c r="B41" t="s">
        <v>70</v>
      </c>
      <c r="C41">
        <v>9138.89</v>
      </c>
      <c r="D41">
        <v>14</v>
      </c>
      <c r="E41">
        <v>1139.6400000000001</v>
      </c>
      <c r="F41">
        <v>15</v>
      </c>
      <c r="G41">
        <v>54.27</v>
      </c>
      <c r="H41">
        <v>14</v>
      </c>
      <c r="I41">
        <v>-2525.35</v>
      </c>
      <c r="J41">
        <v>47</v>
      </c>
      <c r="K41">
        <v>-1777.82</v>
      </c>
      <c r="L41">
        <v>47</v>
      </c>
      <c r="M41">
        <v>64.430000000000007</v>
      </c>
      <c r="N41">
        <v>17</v>
      </c>
      <c r="O41">
        <v>4114.99</v>
      </c>
      <c r="P41">
        <v>9</v>
      </c>
      <c r="Q41">
        <v>1327.18</v>
      </c>
      <c r="R41">
        <v>9</v>
      </c>
      <c r="S41">
        <v>52.27</v>
      </c>
      <c r="T41">
        <v>15</v>
      </c>
      <c r="U41">
        <v>7549.25</v>
      </c>
      <c r="V41">
        <v>3</v>
      </c>
      <c r="W41">
        <v>1590.28</v>
      </c>
      <c r="X41">
        <v>12</v>
      </c>
      <c r="Y41">
        <v>52.03</v>
      </c>
      <c r="Z41">
        <v>30</v>
      </c>
    </row>
    <row r="42" spans="1:26" x14ac:dyDescent="0.25">
      <c r="A42" t="str">
        <f t="shared" si="0"/>
        <v>11</v>
      </c>
      <c r="B42" t="s">
        <v>35</v>
      </c>
      <c r="C42">
        <v>9782.8700000000008</v>
      </c>
      <c r="D42">
        <v>10</v>
      </c>
      <c r="E42">
        <v>382.03</v>
      </c>
      <c r="F42">
        <v>21</v>
      </c>
      <c r="G42">
        <v>47.99</v>
      </c>
      <c r="H42">
        <v>32</v>
      </c>
      <c r="I42">
        <v>-321.24</v>
      </c>
      <c r="J42">
        <v>39</v>
      </c>
      <c r="K42">
        <v>-1383.93</v>
      </c>
      <c r="L42">
        <v>46</v>
      </c>
      <c r="M42">
        <v>58.8</v>
      </c>
      <c r="N42">
        <v>26</v>
      </c>
      <c r="O42">
        <v>4510.7700000000004</v>
      </c>
      <c r="P42">
        <v>8</v>
      </c>
      <c r="Q42">
        <v>490.57</v>
      </c>
      <c r="R42">
        <v>17</v>
      </c>
      <c r="S42">
        <v>42.82</v>
      </c>
      <c r="T42">
        <v>35</v>
      </c>
      <c r="U42">
        <v>5593.34</v>
      </c>
      <c r="V42">
        <v>10</v>
      </c>
      <c r="W42">
        <v>1275.4000000000001</v>
      </c>
      <c r="X42">
        <v>13</v>
      </c>
      <c r="Y42">
        <v>62.55</v>
      </c>
      <c r="Z42">
        <v>14</v>
      </c>
    </row>
    <row r="43" spans="1:26" x14ac:dyDescent="0.25">
      <c r="A43" t="str">
        <f t="shared" si="0"/>
        <v>11</v>
      </c>
      <c r="B43" t="s">
        <v>47</v>
      </c>
      <c r="C43">
        <v>12945.8</v>
      </c>
      <c r="D43">
        <v>4</v>
      </c>
      <c r="E43">
        <v>3544.96</v>
      </c>
      <c r="F43">
        <v>7</v>
      </c>
      <c r="G43">
        <v>51.39</v>
      </c>
      <c r="H43">
        <v>23</v>
      </c>
      <c r="I43">
        <v>3083.19</v>
      </c>
      <c r="J43">
        <v>1</v>
      </c>
      <c r="K43">
        <v>2020.5</v>
      </c>
      <c r="L43">
        <v>1</v>
      </c>
      <c r="M43">
        <v>59.18</v>
      </c>
      <c r="N43">
        <v>25</v>
      </c>
      <c r="O43">
        <v>2824.22</v>
      </c>
      <c r="P43">
        <v>19</v>
      </c>
      <c r="Q43">
        <v>-1195.98</v>
      </c>
      <c r="R43">
        <v>37</v>
      </c>
      <c r="S43">
        <v>49.69</v>
      </c>
      <c r="T43">
        <v>21</v>
      </c>
      <c r="U43">
        <v>7038.38</v>
      </c>
      <c r="V43">
        <v>4</v>
      </c>
      <c r="W43">
        <v>2720.44</v>
      </c>
      <c r="X43">
        <v>4</v>
      </c>
      <c r="Y43">
        <v>49.05</v>
      </c>
      <c r="Z43">
        <v>36</v>
      </c>
    </row>
    <row r="44" spans="1:26" x14ac:dyDescent="0.25">
      <c r="A44" t="str">
        <f t="shared" si="0"/>
        <v>11</v>
      </c>
      <c r="B44" t="s">
        <v>59</v>
      </c>
      <c r="C44">
        <v>4579.71</v>
      </c>
      <c r="D44">
        <v>28</v>
      </c>
      <c r="E44">
        <v>-4821.13</v>
      </c>
      <c r="F44">
        <v>45</v>
      </c>
      <c r="G44">
        <v>53.82</v>
      </c>
      <c r="H44">
        <v>16</v>
      </c>
      <c r="I44">
        <v>979.7</v>
      </c>
      <c r="J44">
        <v>11</v>
      </c>
      <c r="K44">
        <v>-82.99</v>
      </c>
      <c r="L44">
        <v>30</v>
      </c>
      <c r="M44">
        <v>65.260000000000005</v>
      </c>
      <c r="N44">
        <v>13</v>
      </c>
      <c r="O44">
        <v>5091.1000000000004</v>
      </c>
      <c r="P44">
        <v>5</v>
      </c>
      <c r="Q44">
        <v>1070.9000000000001</v>
      </c>
      <c r="R44">
        <v>11</v>
      </c>
      <c r="S44">
        <v>54.65</v>
      </c>
      <c r="T44">
        <v>8</v>
      </c>
      <c r="U44">
        <v>-1491.09</v>
      </c>
      <c r="V44">
        <v>47</v>
      </c>
      <c r="W44">
        <v>-5809.03</v>
      </c>
      <c r="X44">
        <v>48</v>
      </c>
      <c r="Y44">
        <v>50.71</v>
      </c>
      <c r="Z44">
        <v>32</v>
      </c>
    </row>
    <row r="45" spans="1:26" x14ac:dyDescent="0.25">
      <c r="A45" t="str">
        <f t="shared" si="0"/>
        <v>11</v>
      </c>
      <c r="B45" t="s">
        <v>71</v>
      </c>
      <c r="C45">
        <v>10294.98</v>
      </c>
      <c r="D45">
        <v>7</v>
      </c>
      <c r="E45">
        <v>894.14</v>
      </c>
      <c r="F45">
        <v>17</v>
      </c>
      <c r="G45">
        <v>51.8</v>
      </c>
      <c r="H45">
        <v>22</v>
      </c>
      <c r="I45">
        <v>509.13</v>
      </c>
      <c r="J45">
        <v>20</v>
      </c>
      <c r="K45">
        <v>-553.55999999999995</v>
      </c>
      <c r="L45">
        <v>37</v>
      </c>
      <c r="M45">
        <v>59.9</v>
      </c>
      <c r="N45">
        <v>21</v>
      </c>
      <c r="O45">
        <v>3654.72</v>
      </c>
      <c r="P45">
        <v>11</v>
      </c>
      <c r="Q45">
        <v>-365.48</v>
      </c>
      <c r="R45">
        <v>27</v>
      </c>
      <c r="S45">
        <v>50</v>
      </c>
      <c r="T45">
        <v>20</v>
      </c>
      <c r="U45">
        <v>6131.13</v>
      </c>
      <c r="V45">
        <v>7</v>
      </c>
      <c r="W45">
        <v>1813.19</v>
      </c>
      <c r="X45">
        <v>10</v>
      </c>
      <c r="Y45">
        <v>53.28</v>
      </c>
      <c r="Z45">
        <v>27</v>
      </c>
    </row>
    <row r="46" spans="1:26" x14ac:dyDescent="0.25">
      <c r="A46" t="str">
        <f t="shared" si="0"/>
        <v>12</v>
      </c>
      <c r="B46" t="s">
        <v>36</v>
      </c>
      <c r="C46">
        <v>10094.24</v>
      </c>
      <c r="D46">
        <v>9</v>
      </c>
      <c r="E46">
        <v>-1932.39</v>
      </c>
      <c r="F46">
        <v>35</v>
      </c>
      <c r="G46">
        <v>58.23</v>
      </c>
      <c r="H46">
        <v>4</v>
      </c>
      <c r="I46">
        <v>2093.69</v>
      </c>
      <c r="J46">
        <v>3</v>
      </c>
      <c r="K46">
        <v>386.79</v>
      </c>
      <c r="L46">
        <v>15</v>
      </c>
      <c r="M46">
        <v>69.55</v>
      </c>
      <c r="N46">
        <v>9</v>
      </c>
      <c r="O46">
        <v>2299.42</v>
      </c>
      <c r="P46">
        <v>25</v>
      </c>
      <c r="Q46">
        <v>-2472.0500000000002</v>
      </c>
      <c r="R46">
        <v>46</v>
      </c>
      <c r="S46">
        <v>54.21</v>
      </c>
      <c r="T46">
        <v>9</v>
      </c>
      <c r="U46">
        <v>5701.14</v>
      </c>
      <c r="V46">
        <v>9</v>
      </c>
      <c r="W46">
        <v>152.88</v>
      </c>
      <c r="X46">
        <v>23</v>
      </c>
      <c r="Y46">
        <v>71.64</v>
      </c>
      <c r="Z46">
        <v>4</v>
      </c>
    </row>
    <row r="47" spans="1:26" x14ac:dyDescent="0.25">
      <c r="A47" t="str">
        <f t="shared" si="0"/>
        <v>12</v>
      </c>
      <c r="B47" t="s">
        <v>48</v>
      </c>
      <c r="C47">
        <v>9661.59</v>
      </c>
      <c r="D47">
        <v>12</v>
      </c>
      <c r="E47">
        <v>-2365.04</v>
      </c>
      <c r="F47">
        <v>38</v>
      </c>
      <c r="G47">
        <v>48.08</v>
      </c>
      <c r="H47">
        <v>31</v>
      </c>
      <c r="I47">
        <v>484.21</v>
      </c>
      <c r="J47">
        <v>21</v>
      </c>
      <c r="K47">
        <v>-1222.69</v>
      </c>
      <c r="L47">
        <v>44</v>
      </c>
      <c r="M47">
        <v>64.540000000000006</v>
      </c>
      <c r="N47">
        <v>16</v>
      </c>
      <c r="O47">
        <v>3015.36</v>
      </c>
      <c r="P47">
        <v>17</v>
      </c>
      <c r="Q47">
        <v>-1756.11</v>
      </c>
      <c r="R47">
        <v>43</v>
      </c>
      <c r="S47">
        <v>44.71</v>
      </c>
      <c r="T47">
        <v>33</v>
      </c>
      <c r="U47">
        <v>6162.02</v>
      </c>
      <c r="V47">
        <v>6</v>
      </c>
      <c r="W47">
        <v>613.76</v>
      </c>
      <c r="X47">
        <v>20</v>
      </c>
      <c r="Y47">
        <v>57.09</v>
      </c>
      <c r="Z47">
        <v>22</v>
      </c>
    </row>
    <row r="48" spans="1:26" x14ac:dyDescent="0.25">
      <c r="A48" t="str">
        <f t="shared" si="0"/>
        <v>12</v>
      </c>
      <c r="B48" t="s">
        <v>60</v>
      </c>
      <c r="C48">
        <v>18689.43</v>
      </c>
      <c r="D48">
        <v>1</v>
      </c>
      <c r="E48">
        <v>6662.8</v>
      </c>
      <c r="F48">
        <v>3</v>
      </c>
      <c r="G48">
        <v>43.87</v>
      </c>
      <c r="H48">
        <v>43</v>
      </c>
      <c r="I48">
        <v>2986.09</v>
      </c>
      <c r="J48">
        <v>2</v>
      </c>
      <c r="K48">
        <v>1279.19</v>
      </c>
      <c r="L48">
        <v>2</v>
      </c>
      <c r="M48">
        <v>41.99</v>
      </c>
      <c r="N48">
        <v>44</v>
      </c>
      <c r="O48">
        <v>11695.28</v>
      </c>
      <c r="P48">
        <v>1</v>
      </c>
      <c r="Q48">
        <v>6923.81</v>
      </c>
      <c r="R48">
        <v>1</v>
      </c>
      <c r="S48">
        <v>45.82</v>
      </c>
      <c r="T48">
        <v>31</v>
      </c>
      <c r="U48">
        <v>4008.05</v>
      </c>
      <c r="V48">
        <v>17</v>
      </c>
      <c r="W48">
        <v>-1540.21</v>
      </c>
      <c r="X48">
        <v>40</v>
      </c>
      <c r="Y48">
        <v>54.29</v>
      </c>
      <c r="Z48">
        <v>26</v>
      </c>
    </row>
    <row r="49" spans="1:26" x14ac:dyDescent="0.25">
      <c r="A49" t="str">
        <f t="shared" si="0"/>
        <v>12</v>
      </c>
      <c r="B49" t="s">
        <v>72</v>
      </c>
      <c r="C49">
        <v>9661.27</v>
      </c>
      <c r="D49">
        <v>13</v>
      </c>
      <c r="E49">
        <v>-2365.36</v>
      </c>
      <c r="F49">
        <v>39</v>
      </c>
      <c r="G49">
        <v>48.73</v>
      </c>
      <c r="H49">
        <v>30</v>
      </c>
      <c r="I49">
        <v>1263.6199999999999</v>
      </c>
      <c r="J49">
        <v>9</v>
      </c>
      <c r="K49">
        <v>-443.28</v>
      </c>
      <c r="L49">
        <v>34</v>
      </c>
      <c r="M49">
        <v>58.27</v>
      </c>
      <c r="N49">
        <v>27</v>
      </c>
      <c r="O49">
        <v>2075.83</v>
      </c>
      <c r="P49">
        <v>28</v>
      </c>
      <c r="Q49">
        <v>-2695.64</v>
      </c>
      <c r="R49">
        <v>47</v>
      </c>
      <c r="S49">
        <v>46.62</v>
      </c>
      <c r="T49">
        <v>28</v>
      </c>
      <c r="U49">
        <v>6321.82</v>
      </c>
      <c r="V49">
        <v>5</v>
      </c>
      <c r="W49">
        <v>773.56</v>
      </c>
      <c r="X49">
        <v>17</v>
      </c>
      <c r="Y49">
        <v>48.01</v>
      </c>
      <c r="Z49">
        <v>38</v>
      </c>
    </row>
    <row r="59" spans="1:26" ht="27.75" customHeight="1" x14ac:dyDescent="0.25">
      <c r="C59" s="4" t="s">
        <v>73</v>
      </c>
      <c r="D59" s="4" t="s">
        <v>74</v>
      </c>
      <c r="E59" s="4" t="s">
        <v>75</v>
      </c>
      <c r="F59" s="4" t="s">
        <v>76</v>
      </c>
      <c r="G59" s="4" t="s">
        <v>97</v>
      </c>
      <c r="H59" s="4" t="s">
        <v>77</v>
      </c>
      <c r="I59" s="4" t="s">
        <v>78</v>
      </c>
      <c r="J59" s="4" t="s">
        <v>76</v>
      </c>
      <c r="K59" s="4" t="s">
        <v>97</v>
      </c>
      <c r="L59" s="4" t="s">
        <v>79</v>
      </c>
      <c r="M59" s="4" t="s">
        <v>80</v>
      </c>
    </row>
    <row r="60" spans="1:26" x14ac:dyDescent="0.25">
      <c r="C60" s="4" t="s">
        <v>81</v>
      </c>
      <c r="D60">
        <v>-0.29189983400000002</v>
      </c>
      <c r="E60">
        <v>4.41E-2</v>
      </c>
      <c r="F60" s="1" t="s">
        <v>82</v>
      </c>
      <c r="G60" s="3" t="str">
        <f>IF(E60 &lt; 0.05/8, "YES", "NO")</f>
        <v>NO</v>
      </c>
      <c r="H60">
        <v>-0.34444203200000001</v>
      </c>
      <c r="I60">
        <v>1.6500000000000001E-2</v>
      </c>
      <c r="J60" s="1" t="s">
        <v>82</v>
      </c>
      <c r="K60" s="3" t="str">
        <f>IF(I60 &lt; 0.05 / 8, "YES", "NO")</f>
        <v>NO</v>
      </c>
      <c r="L60" t="s">
        <v>83</v>
      </c>
      <c r="M60" s="1" t="s">
        <v>84</v>
      </c>
    </row>
    <row r="61" spans="1:26" x14ac:dyDescent="0.25">
      <c r="C61" s="4" t="s">
        <v>85</v>
      </c>
      <c r="D61">
        <v>-0.47145984099999999</v>
      </c>
      <c r="E61">
        <v>6.9999999999999999E-4</v>
      </c>
      <c r="F61" s="1" t="s">
        <v>82</v>
      </c>
      <c r="G61" s="1" t="str">
        <f t="shared" ref="G61:G70" si="1">IF(E61 &lt; 0.05/8, "YES", "NO")</f>
        <v>YES</v>
      </c>
      <c r="H61">
        <v>-0.52084238000000005</v>
      </c>
      <c r="I61">
        <v>1E-4</v>
      </c>
      <c r="J61" s="1" t="s">
        <v>82</v>
      </c>
      <c r="K61" s="1" t="str">
        <f t="shared" ref="K61:K70" si="2">IF(I61 &lt; 0.05 / 8, "YES", "NO")</f>
        <v>YES</v>
      </c>
      <c r="L61" t="s">
        <v>83</v>
      </c>
      <c r="M61" s="2" t="s">
        <v>86</v>
      </c>
    </row>
    <row r="62" spans="1:26" x14ac:dyDescent="0.25">
      <c r="C62" s="4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spans="1:26" x14ac:dyDescent="0.25">
      <c r="C63" s="4" t="s">
        <v>87</v>
      </c>
      <c r="D63">
        <v>-0.28776071199999997</v>
      </c>
      <c r="E63">
        <v>4.7300000000000002E-2</v>
      </c>
      <c r="F63" s="1" t="s">
        <v>82</v>
      </c>
      <c r="G63" s="3" t="str">
        <f t="shared" si="1"/>
        <v>NO</v>
      </c>
      <c r="H63">
        <v>-0.37548849299999998</v>
      </c>
      <c r="I63">
        <v>8.5000000000000006E-3</v>
      </c>
      <c r="J63" s="1" t="s">
        <v>82</v>
      </c>
      <c r="K63" s="3" t="str">
        <f t="shared" si="2"/>
        <v>NO</v>
      </c>
      <c r="L63" t="s">
        <v>83</v>
      </c>
      <c r="M63" s="1" t="s">
        <v>84</v>
      </c>
    </row>
    <row r="64" spans="1:26" x14ac:dyDescent="0.25">
      <c r="C64" s="4" t="s">
        <v>88</v>
      </c>
      <c r="D64">
        <v>-0.40269359700000001</v>
      </c>
      <c r="E64">
        <v>4.4999999999999997E-3</v>
      </c>
      <c r="F64" s="1" t="s">
        <v>82</v>
      </c>
      <c r="G64" s="1" t="str">
        <f t="shared" si="1"/>
        <v>YES</v>
      </c>
      <c r="H64">
        <v>-0.46699956599999998</v>
      </c>
      <c r="I64">
        <v>8.0000000000000004E-4</v>
      </c>
      <c r="J64" s="1" t="s">
        <v>82</v>
      </c>
      <c r="K64" s="1" t="str">
        <f t="shared" si="2"/>
        <v>YES</v>
      </c>
      <c r="L64" t="s">
        <v>83</v>
      </c>
      <c r="M64" s="1" t="s">
        <v>84</v>
      </c>
    </row>
    <row r="65" spans="3:13" x14ac:dyDescent="0.25">
      <c r="C65" s="4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spans="3:13" x14ac:dyDescent="0.25">
      <c r="C66" s="4" t="s">
        <v>89</v>
      </c>
      <c r="D66">
        <v>-7.2369585E-2</v>
      </c>
      <c r="E66">
        <v>0.625</v>
      </c>
      <c r="F66" s="3" t="s">
        <v>90</v>
      </c>
      <c r="G66" s="3" t="str">
        <f t="shared" si="1"/>
        <v>NO</v>
      </c>
      <c r="H66">
        <v>-4.5484151E-2</v>
      </c>
      <c r="I66">
        <v>0.75890000000000002</v>
      </c>
      <c r="J66" s="3" t="s">
        <v>90</v>
      </c>
      <c r="K66" s="3" t="str">
        <f t="shared" si="2"/>
        <v>NO</v>
      </c>
      <c r="L66" t="s">
        <v>91</v>
      </c>
      <c r="M66" s="3" t="s">
        <v>92</v>
      </c>
    </row>
    <row r="67" spans="3:13" x14ac:dyDescent="0.25">
      <c r="C67" s="4" t="s">
        <v>93</v>
      </c>
      <c r="D67">
        <v>-0.159437148</v>
      </c>
      <c r="E67">
        <v>0.27910000000000001</v>
      </c>
      <c r="F67" s="3" t="s">
        <v>90</v>
      </c>
      <c r="G67" s="3" t="str">
        <f t="shared" si="1"/>
        <v>NO</v>
      </c>
      <c r="H67">
        <v>-0.169235779</v>
      </c>
      <c r="I67">
        <v>0.25019999999999998</v>
      </c>
      <c r="J67" s="3" t="s">
        <v>90</v>
      </c>
      <c r="K67" s="3" t="str">
        <f t="shared" si="2"/>
        <v>NO</v>
      </c>
      <c r="L67" t="s">
        <v>83</v>
      </c>
      <c r="M67" s="3" t="s">
        <v>92</v>
      </c>
    </row>
    <row r="68" spans="3:13" x14ac:dyDescent="0.25">
      <c r="C68" s="4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spans="3:13" x14ac:dyDescent="0.25">
      <c r="C69" s="4" t="s">
        <v>94</v>
      </c>
      <c r="D69">
        <v>-0.17697770900000001</v>
      </c>
      <c r="E69">
        <v>0.2288</v>
      </c>
      <c r="F69" s="3" t="s">
        <v>90</v>
      </c>
      <c r="G69" s="3" t="str">
        <f t="shared" si="1"/>
        <v>NO</v>
      </c>
      <c r="H69">
        <v>-0.26530612199999998</v>
      </c>
      <c r="I69">
        <v>6.8400000000000002E-2</v>
      </c>
      <c r="J69" s="3" t="s">
        <v>90</v>
      </c>
      <c r="K69" s="3" t="str">
        <f t="shared" si="2"/>
        <v>NO</v>
      </c>
      <c r="L69" t="s">
        <v>83</v>
      </c>
      <c r="M69" s="3" t="s">
        <v>92</v>
      </c>
    </row>
    <row r="70" spans="3:13" x14ac:dyDescent="0.25">
      <c r="C70" s="4" t="s">
        <v>95</v>
      </c>
      <c r="D70">
        <v>-0.25270137500000001</v>
      </c>
      <c r="E70">
        <v>8.3099999999999993E-2</v>
      </c>
      <c r="F70" s="3" t="s">
        <v>90</v>
      </c>
      <c r="G70" s="3" t="str">
        <f t="shared" si="1"/>
        <v>NO</v>
      </c>
      <c r="H70">
        <v>-0.410117238</v>
      </c>
      <c r="I70">
        <v>3.8E-3</v>
      </c>
      <c r="J70" s="1" t="s">
        <v>82</v>
      </c>
      <c r="K70" s="1" t="str">
        <f t="shared" si="2"/>
        <v>YES</v>
      </c>
      <c r="L70" t="s">
        <v>83</v>
      </c>
      <c r="M70" s="1" t="s">
        <v>84</v>
      </c>
    </row>
    <row r="73" spans="3:13" x14ac:dyDescent="0.25">
      <c r="C73" s="5" t="s">
        <v>98</v>
      </c>
      <c r="D73" s="5" t="s">
        <v>74</v>
      </c>
      <c r="E73" s="5" t="s">
        <v>75</v>
      </c>
      <c r="F73" s="5" t="s">
        <v>77</v>
      </c>
      <c r="G73" s="5" t="s">
        <v>78</v>
      </c>
    </row>
    <row r="74" spans="3:13" x14ac:dyDescent="0.25">
      <c r="C74" s="5" t="s">
        <v>99</v>
      </c>
      <c r="D74">
        <f>CORREL(E2:E5, G2:G5)</f>
        <v>-0.32853441440493536</v>
      </c>
      <c r="E74">
        <f>ROUND(_xlfn.T.DIST.2T(ABS(D74)*SQRT(4-2)/SQRT(1-D74^2), 4-2), 4)</f>
        <v>0.67149999999999999</v>
      </c>
      <c r="F74">
        <f>CORREL(F2:F5,H2:H5)</f>
        <v>-0.49580832487368681</v>
      </c>
      <c r="G74">
        <f>ROUND(_xlfn.T.DIST.2T(ABS(F74)*SQRT(4-2)/SQRT(1-F74^2), 4-2), 4)</f>
        <v>0.50419999999999998</v>
      </c>
    </row>
    <row r="75" spans="3:13" x14ac:dyDescent="0.25">
      <c r="C75" s="5" t="s">
        <v>100</v>
      </c>
      <c r="D75">
        <f>CORREL(E6:E9,G6:G9)</f>
        <v>-0.91233759254864455</v>
      </c>
      <c r="E75">
        <f t="shared" ref="E75:E85" si="3">ROUND(_xlfn.T.DIST.2T(ABS(D75)*SQRT(4-2)/SQRT(1-D75^2), 4-2), 4)</f>
        <v>8.77E-2</v>
      </c>
      <c r="F75">
        <f>CORREL(F6:F9,H6:H9)</f>
        <v>-0.74278370470744981</v>
      </c>
      <c r="G75">
        <f t="shared" ref="G75:G85" si="4">ROUND(_xlfn.T.DIST.2T(ABS(F75)*SQRT(4-2)/SQRT(1-F75^2), 4-2), 4)</f>
        <v>0.25719999999999998</v>
      </c>
    </row>
    <row r="76" spans="3:13" x14ac:dyDescent="0.25">
      <c r="C76" s="5" t="s">
        <v>101</v>
      </c>
      <c r="D76">
        <f>CORREL(E10:E13,G10:G13)</f>
        <v>-0.97780868788847475</v>
      </c>
      <c r="E76">
        <f t="shared" si="3"/>
        <v>2.2200000000000001E-2</v>
      </c>
      <c r="F76">
        <f>CORREL(F10:F13,H10:H13)</f>
        <v>-0.98829172150590516</v>
      </c>
      <c r="G76">
        <f t="shared" si="4"/>
        <v>1.17E-2</v>
      </c>
    </row>
    <row r="77" spans="3:13" x14ac:dyDescent="0.25">
      <c r="C77" s="5" t="s">
        <v>102</v>
      </c>
      <c r="D77">
        <f>CORREL(E14:E17,G14:G17)</f>
        <v>-0.42195821669899269</v>
      </c>
      <c r="E77">
        <f t="shared" si="3"/>
        <v>0.57799999999999996</v>
      </c>
      <c r="F77">
        <f>CORREL(F14:F17,H14:H17)</f>
        <v>-0.48138512874904915</v>
      </c>
      <c r="G77">
        <f t="shared" si="4"/>
        <v>0.51859999999999995</v>
      </c>
    </row>
    <row r="78" spans="3:13" x14ac:dyDescent="0.25">
      <c r="C78" s="5" t="s">
        <v>103</v>
      </c>
      <c r="D78">
        <f>CORREL(E18:E21,G18:G21)</f>
        <v>-0.2973532649491013</v>
      </c>
      <c r="E78">
        <f t="shared" si="3"/>
        <v>0.7026</v>
      </c>
      <c r="F78">
        <f>CORREL(F18:F21,H18:H21)</f>
        <v>-0.42347669262388143</v>
      </c>
      <c r="G78">
        <f t="shared" si="4"/>
        <v>0.57650000000000001</v>
      </c>
    </row>
    <row r="79" spans="3:13" x14ac:dyDescent="0.25">
      <c r="C79" s="5" t="s">
        <v>104</v>
      </c>
      <c r="D79">
        <f>CORREL(E22:E25,G22:G25)</f>
        <v>-0.36655505681057493</v>
      </c>
      <c r="E79">
        <f t="shared" si="3"/>
        <v>0.63339999999999996</v>
      </c>
      <c r="F79">
        <f>CORREL(F22:F25,H22:H25)</f>
        <v>-0.34416863392621638</v>
      </c>
      <c r="G79">
        <f t="shared" si="4"/>
        <v>0.65580000000000005</v>
      </c>
    </row>
    <row r="80" spans="3:13" x14ac:dyDescent="0.25">
      <c r="C80" s="5" t="s">
        <v>105</v>
      </c>
      <c r="D80">
        <f>CORREL(E26:E29,G26:G29)</f>
        <v>-0.96049872330596808</v>
      </c>
      <c r="E80">
        <f t="shared" si="3"/>
        <v>3.95E-2</v>
      </c>
      <c r="F80">
        <f>CORREL(F26:F29,H26:H29)</f>
        <v>-0.94715812862324833</v>
      </c>
      <c r="G80">
        <f t="shared" si="4"/>
        <v>5.28E-2</v>
      </c>
    </row>
    <row r="81" spans="3:7" x14ac:dyDescent="0.25">
      <c r="C81" s="5" t="s">
        <v>106</v>
      </c>
      <c r="D81">
        <f>CORREL(E30:E33,G30:G33)</f>
        <v>-0.39615932236198625</v>
      </c>
      <c r="E81">
        <f t="shared" si="3"/>
        <v>0.6038</v>
      </c>
      <c r="F81">
        <f>CORREL(F30:F33,H30:H33)</f>
        <v>-0.40198566749233328</v>
      </c>
      <c r="G81">
        <f t="shared" si="4"/>
        <v>0.59799999999999998</v>
      </c>
    </row>
    <row r="82" spans="3:7" x14ac:dyDescent="0.25">
      <c r="C82" s="5" t="s">
        <v>107</v>
      </c>
      <c r="D82">
        <f>CORREL(E34:E37,G34:G37)</f>
        <v>-6.4557772771364111E-2</v>
      </c>
      <c r="E82">
        <f t="shared" si="3"/>
        <v>0.93540000000000001</v>
      </c>
      <c r="F82">
        <f>CORREL(F34:F37,H34:H37)</f>
        <v>-0.19948625116281449</v>
      </c>
      <c r="G82">
        <f t="shared" si="4"/>
        <v>0.80049999999999999</v>
      </c>
    </row>
    <row r="83" spans="3:7" x14ac:dyDescent="0.25">
      <c r="C83" s="5" t="s">
        <v>108</v>
      </c>
      <c r="D83">
        <f>CORREL(E38:E41,G38:G41)</f>
        <v>-0.66446827251954432</v>
      </c>
      <c r="E83">
        <f t="shared" si="3"/>
        <v>0.33550000000000002</v>
      </c>
      <c r="F83">
        <f>CORREL(F38:F41,H38:H41)</f>
        <v>-0.49285675035312559</v>
      </c>
      <c r="G83">
        <f t="shared" si="4"/>
        <v>0.5071</v>
      </c>
    </row>
    <row r="84" spans="3:7" x14ac:dyDescent="0.25">
      <c r="C84" s="5" t="s">
        <v>109</v>
      </c>
      <c r="D84">
        <f>CORREL(E42:E45,G42:G45)</f>
        <v>-0.49791292703084805</v>
      </c>
      <c r="E84">
        <f t="shared" si="3"/>
        <v>0.50209999999999999</v>
      </c>
      <c r="F84">
        <f>CORREL(F42:F45,H42:H45)</f>
        <v>-0.51857123213027223</v>
      </c>
      <c r="G84">
        <f t="shared" si="4"/>
        <v>0.48139999999999999</v>
      </c>
    </row>
    <row r="85" spans="3:7" x14ac:dyDescent="0.25">
      <c r="C85" s="5" t="s">
        <v>110</v>
      </c>
      <c r="D85">
        <f>CORREL(E46:E49,G46:G49)</f>
        <v>-0.60825328878439311</v>
      </c>
      <c r="E85">
        <f t="shared" si="3"/>
        <v>0.39169999999999999</v>
      </c>
      <c r="F85">
        <f>CORREL(F46:F49,H46:H49)</f>
        <v>-0.57386849527586181</v>
      </c>
      <c r="G85">
        <f t="shared" si="4"/>
        <v>0.42609999999999998</v>
      </c>
    </row>
  </sheetData>
  <sortState xmlns:xlrd2="http://schemas.microsoft.com/office/spreadsheetml/2017/richdata2" ref="A2:Z49">
    <sortCondition ref="A2:A49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Monthly Profits With Rankin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Herbert, Brendon (UG - Maths &amp; Physics)</cp:lastModifiedBy>
  <dcterms:created xsi:type="dcterms:W3CDTF">2026-08-03T09:51:34Z</dcterms:created>
  <dcterms:modified xsi:type="dcterms:W3CDTF">2026-08-03T11:57:45Z</dcterms:modified>
</cp:coreProperties>
</file>